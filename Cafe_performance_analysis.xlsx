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jeethavijayan/Desktop/Prajeetha/projects - prac/coffee sales/walkin_case_study_analytics_consultant/"/>
    </mc:Choice>
  </mc:AlternateContent>
  <xr:revisionPtr revIDLastSave="0" documentId="8_{59DB56B6-9DB5-9F4A-B71B-158940E02417}" xr6:coauthVersionLast="47" xr6:coauthVersionMax="47" xr10:uidLastSave="{00000000-0000-0000-0000-000000000000}"/>
  <bookViews>
    <workbookView xWindow="2280" yWindow="2760" windowWidth="26440" windowHeight="14660" xr2:uid="{218F5755-7B57-BF42-BAC4-03904B8CF868}"/>
  </bookViews>
  <sheets>
    <sheet name="how is café performing" sheetId="1" r:id="rId1"/>
    <sheet name="Design a campaign" sheetId="2" r:id="rId2"/>
  </sheets>
  <calcPr calcId="181029"/>
  <pivotCaches>
    <pivotCache cacheId="4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2" l="1"/>
  <c r="C3" i="2" s="1"/>
  <c r="D21" i="2"/>
  <c r="E21" i="2"/>
  <c r="D22" i="2"/>
  <c r="E22" i="2"/>
  <c r="D23" i="2"/>
  <c r="E23" i="2"/>
  <c r="D24" i="2"/>
  <c r="E24" i="2"/>
  <c r="D25" i="2"/>
  <c r="E25" i="2"/>
  <c r="D26" i="2"/>
  <c r="E26" i="2"/>
  <c r="D27" i="2"/>
  <c r="E27" i="2"/>
  <c r="D28" i="2"/>
  <c r="E28" i="2"/>
  <c r="D29" i="2"/>
  <c r="E29" i="2"/>
  <c r="D30" i="2"/>
  <c r="E30" i="2"/>
  <c r="J45" i="2"/>
  <c r="J46" i="2"/>
  <c r="N46" i="2"/>
  <c r="J47" i="2"/>
  <c r="N47" i="2"/>
  <c r="O47" i="2"/>
  <c r="P47" i="2"/>
  <c r="P48" i="2" s="1"/>
  <c r="J48" i="2"/>
  <c r="J49" i="2"/>
  <c r="J50" i="2"/>
  <c r="N50" i="2"/>
  <c r="J51" i="2"/>
  <c r="N51" i="2"/>
  <c r="O51" i="2"/>
  <c r="O53" i="2" s="1"/>
  <c r="P51" i="2"/>
  <c r="P53" i="2" s="1"/>
  <c r="J52" i="2"/>
  <c r="P52" i="2"/>
  <c r="M53" i="2"/>
  <c r="J70" i="2"/>
  <c r="K70" i="2"/>
  <c r="B8" i="1"/>
  <c r="C8" i="1"/>
  <c r="D14" i="1"/>
  <c r="D15" i="1"/>
  <c r="D16" i="1"/>
  <c r="D17" i="1"/>
  <c r="E30" i="1"/>
  <c r="E31" i="1"/>
  <c r="E40" i="1"/>
  <c r="E41" i="1"/>
  <c r="E50" i="1"/>
  <c r="E51" i="1"/>
  <c r="E60" i="1"/>
  <c r="E61" i="1"/>
  <c r="E70" i="1"/>
  <c r="E71" i="1"/>
  <c r="E80" i="1"/>
  <c r="E81" i="1"/>
  <c r="E90" i="1"/>
  <c r="E91" i="1"/>
  <c r="E100" i="1"/>
  <c r="E101" i="1"/>
  <c r="E110" i="1"/>
  <c r="E111" i="1"/>
  <c r="E120" i="1"/>
  <c r="E121" i="1"/>
  <c r="E122" i="1"/>
  <c r="E130" i="1"/>
  <c r="E131" i="1"/>
  <c r="E132" i="1"/>
  <c r="E140" i="1"/>
  <c r="E141" i="1"/>
  <c r="E142" i="1"/>
  <c r="E150" i="1"/>
  <c r="E151" i="1"/>
  <c r="E152" i="1"/>
  <c r="E160" i="1"/>
  <c r="E161" i="1"/>
  <c r="E162" i="1"/>
  <c r="E170" i="1"/>
  <c r="E171" i="1"/>
  <c r="E172" i="1"/>
  <c r="E180" i="1"/>
  <c r="E181" i="1"/>
  <c r="E182" i="1"/>
  <c r="E190" i="1"/>
  <c r="E191" i="1"/>
  <c r="E192" i="1"/>
  <c r="E200" i="1"/>
  <c r="E201" i="1"/>
  <c r="E202" i="1"/>
  <c r="E210" i="1"/>
  <c r="E211" i="1"/>
  <c r="E212" i="1"/>
  <c r="E220" i="1"/>
  <c r="E221" i="1"/>
  <c r="E222" i="1"/>
  <c r="E230" i="1"/>
  <c r="E231" i="1"/>
  <c r="E232" i="1"/>
  <c r="C238" i="1"/>
  <c r="E33" i="1" s="1"/>
  <c r="E112" i="1" l="1"/>
  <c r="E102" i="1"/>
  <c r="E92" i="1"/>
  <c r="E82" i="1"/>
  <c r="E72" i="1"/>
  <c r="E62" i="1"/>
  <c r="E52" i="1"/>
  <c r="E42" i="1"/>
  <c r="E32" i="1"/>
  <c r="E229" i="1"/>
  <c r="E209" i="1"/>
  <c r="E189" i="1"/>
  <c r="E169" i="1"/>
  <c r="E149" i="1"/>
  <c r="E129" i="1"/>
  <c r="E109" i="1"/>
  <c r="E79" i="1"/>
  <c r="E49" i="1"/>
  <c r="E29" i="1"/>
  <c r="E208" i="1"/>
  <c r="E168" i="1"/>
  <c r="E138" i="1"/>
  <c r="E108" i="1"/>
  <c r="E78" i="1"/>
  <c r="E58" i="1"/>
  <c r="E38" i="1"/>
  <c r="E217" i="1"/>
  <c r="E177" i="1"/>
  <c r="E147" i="1"/>
  <c r="E107" i="1"/>
  <c r="E57" i="1"/>
  <c r="E216" i="1"/>
  <c r="E186" i="1"/>
  <c r="E156" i="1"/>
  <c r="E116" i="1"/>
  <c r="E86" i="1"/>
  <c r="E235" i="1"/>
  <c r="E225" i="1"/>
  <c r="E215" i="1"/>
  <c r="E205" i="1"/>
  <c r="E195" i="1"/>
  <c r="E185" i="1"/>
  <c r="E175" i="1"/>
  <c r="E165" i="1"/>
  <c r="E155" i="1"/>
  <c r="E145" i="1"/>
  <c r="E135" i="1"/>
  <c r="E125" i="1"/>
  <c r="E115" i="1"/>
  <c r="E105" i="1"/>
  <c r="E95" i="1"/>
  <c r="E85" i="1"/>
  <c r="E75" i="1"/>
  <c r="E65" i="1"/>
  <c r="E55" i="1"/>
  <c r="E45" i="1"/>
  <c r="E35" i="1"/>
  <c r="E219" i="1"/>
  <c r="E199" i="1"/>
  <c r="E179" i="1"/>
  <c r="E159" i="1"/>
  <c r="E139" i="1"/>
  <c r="E119" i="1"/>
  <c r="E99" i="1"/>
  <c r="E89" i="1"/>
  <c r="E69" i="1"/>
  <c r="E59" i="1"/>
  <c r="E39" i="1"/>
  <c r="E228" i="1"/>
  <c r="E198" i="1"/>
  <c r="E178" i="1"/>
  <c r="E148" i="1"/>
  <c r="E128" i="1"/>
  <c r="E118" i="1"/>
  <c r="E88" i="1"/>
  <c r="E68" i="1"/>
  <c r="E48" i="1"/>
  <c r="E227" i="1"/>
  <c r="E187" i="1"/>
  <c r="E157" i="1"/>
  <c r="E127" i="1"/>
  <c r="E97" i="1"/>
  <c r="E67" i="1"/>
  <c r="E37" i="1"/>
  <c r="E226" i="1"/>
  <c r="E206" i="1"/>
  <c r="E176" i="1"/>
  <c r="E166" i="1"/>
  <c r="E146" i="1"/>
  <c r="E126" i="1"/>
  <c r="E106" i="1"/>
  <c r="E96" i="1"/>
  <c r="E76" i="1"/>
  <c r="E56" i="1"/>
  <c r="E46" i="1"/>
  <c r="E36" i="1"/>
  <c r="E234" i="1"/>
  <c r="E224" i="1"/>
  <c r="E214" i="1"/>
  <c r="E204" i="1"/>
  <c r="E194" i="1"/>
  <c r="E184" i="1"/>
  <c r="E164" i="1"/>
  <c r="E154" i="1"/>
  <c r="E144" i="1"/>
  <c r="E134" i="1"/>
  <c r="E124" i="1"/>
  <c r="E104" i="1"/>
  <c r="E94" i="1"/>
  <c r="E74" i="1"/>
  <c r="E54" i="1"/>
  <c r="E34" i="1"/>
  <c r="E218" i="1"/>
  <c r="E188" i="1"/>
  <c r="E158" i="1"/>
  <c r="E98" i="1"/>
  <c r="E237" i="1"/>
  <c r="E207" i="1"/>
  <c r="E197" i="1"/>
  <c r="E167" i="1"/>
  <c r="E137" i="1"/>
  <c r="E117" i="1"/>
  <c r="E87" i="1"/>
  <c r="E77" i="1"/>
  <c r="E47" i="1"/>
  <c r="E236" i="1"/>
  <c r="E196" i="1"/>
  <c r="E136" i="1"/>
  <c r="E66" i="1"/>
  <c r="E174" i="1"/>
  <c r="E114" i="1"/>
  <c r="E84" i="1"/>
  <c r="E64" i="1"/>
  <c r="E44" i="1"/>
  <c r="E233" i="1"/>
  <c r="E223" i="1"/>
  <c r="E213" i="1"/>
  <c r="E203" i="1"/>
  <c r="E193" i="1"/>
  <c r="E183" i="1"/>
  <c r="E173" i="1"/>
  <c r="E163" i="1"/>
  <c r="E153" i="1"/>
  <c r="E143" i="1"/>
  <c r="E133" i="1"/>
  <c r="E123" i="1"/>
  <c r="E113" i="1"/>
  <c r="E103" i="1"/>
  <c r="E93" i="1"/>
  <c r="E83" i="1"/>
  <c r="E73" i="1"/>
  <c r="E63" i="1"/>
  <c r="E53" i="1"/>
  <c r="E43" i="1"/>
</calcChain>
</file>

<file path=xl/sharedStrings.xml><?xml version="1.0" encoding="utf-8"?>
<sst xmlns="http://schemas.openxmlformats.org/spreadsheetml/2006/main" count="355" uniqueCount="277">
  <si>
    <t>MUMBAI-U</t>
  </si>
  <si>
    <t>KUSHALANAGAR</t>
  </si>
  <si>
    <t>AJMER</t>
  </si>
  <si>
    <t>COONOOR</t>
  </si>
  <si>
    <t>KATRA</t>
  </si>
  <si>
    <t>THIRUPUR</t>
  </si>
  <si>
    <t>BHUVANESHWAR</t>
  </si>
  <si>
    <t>KANNUR</t>
  </si>
  <si>
    <t>SONIPET</t>
  </si>
  <si>
    <t>BALACHUR</t>
  </si>
  <si>
    <t>GAJRAULA</t>
  </si>
  <si>
    <t>SHILLONG</t>
  </si>
  <si>
    <t>EAST</t>
  </si>
  <si>
    <t>SILIGURI</t>
  </si>
  <si>
    <t>CALICUT</t>
  </si>
  <si>
    <t>ERODE</t>
  </si>
  <si>
    <t>BEAS</t>
  </si>
  <si>
    <t>SRINAGAR</t>
  </si>
  <si>
    <t>BHIWANDI</t>
  </si>
  <si>
    <t>MOGA</t>
  </si>
  <si>
    <t>PANIPAT</t>
  </si>
  <si>
    <t>SECUNDERABAD</t>
  </si>
  <si>
    <t>BAREILLY</t>
  </si>
  <si>
    <t>SIDKUL</t>
  </si>
  <si>
    <t>MADIKERE</t>
  </si>
  <si>
    <t>MANALI</t>
  </si>
  <si>
    <t>RISHIKESH</t>
  </si>
  <si>
    <t>BOKARO</t>
  </si>
  <si>
    <t>TIRUPATHI.</t>
  </si>
  <si>
    <t>MEDAK</t>
  </si>
  <si>
    <t>DEHARADUN</t>
  </si>
  <si>
    <t>SHIMLA</t>
  </si>
  <si>
    <t>VAPI</t>
  </si>
  <si>
    <t>DARJEELING</t>
  </si>
  <si>
    <t>RUPANAGAR</t>
  </si>
  <si>
    <t>DHARAMSHALA</t>
  </si>
  <si>
    <t>ERNAKULAM</t>
  </si>
  <si>
    <t>NAVSARI</t>
  </si>
  <si>
    <t>KANCHIPURAM</t>
  </si>
  <si>
    <t>HOOGLY</t>
  </si>
  <si>
    <t>HARIDWAR</t>
  </si>
  <si>
    <t>MANDYA</t>
  </si>
  <si>
    <t>BHILAI</t>
  </si>
  <si>
    <t>KODAIKANAL</t>
  </si>
  <si>
    <t>CHERTHALA</t>
  </si>
  <si>
    <t>AMBUR</t>
  </si>
  <si>
    <t>HOSHIARPUR</t>
  </si>
  <si>
    <t>KOVILPATTI</t>
  </si>
  <si>
    <t>SALEM</t>
  </si>
  <si>
    <t>MAHABALIPURAM</t>
  </si>
  <si>
    <t>PUTTUR.</t>
  </si>
  <si>
    <t>JABALPUR</t>
  </si>
  <si>
    <t>AGARTALA</t>
  </si>
  <si>
    <t>ASANSOL</t>
  </si>
  <si>
    <t>GANDHIDHAM</t>
  </si>
  <si>
    <t>MOUNT-ABU</t>
  </si>
  <si>
    <t>KOLHAPUR</t>
  </si>
  <si>
    <t>YAMUNA</t>
  </si>
  <si>
    <t>LONI</t>
  </si>
  <si>
    <t>BHARUCH</t>
  </si>
  <si>
    <t>NAWANSHAHR</t>
  </si>
  <si>
    <t>DURGAPUR</t>
  </si>
  <si>
    <t>RAJAHMUNDRY.</t>
  </si>
  <si>
    <t>MUSSORIE</t>
  </si>
  <si>
    <t>SURENDRANAGAR</t>
  </si>
  <si>
    <t>ANKLESHWAR</t>
  </si>
  <si>
    <t>KURUKESHTRA</t>
  </si>
  <si>
    <t>WEST</t>
  </si>
  <si>
    <t>NAMAKKAL</t>
  </si>
  <si>
    <t>GURUGRAM</t>
  </si>
  <si>
    <t>CHANDIGARH</t>
  </si>
  <si>
    <t>DHARMAPURI</t>
  </si>
  <si>
    <t>ALIGARH</t>
  </si>
  <si>
    <t>NAPUR</t>
  </si>
  <si>
    <t>VELLORE</t>
  </si>
  <si>
    <t>CHANDRAGIRI.</t>
  </si>
  <si>
    <t>KUMBLA</t>
  </si>
  <si>
    <t>THIRUCHITRAMBALAM</t>
  </si>
  <si>
    <t>ALLAHABAD</t>
  </si>
  <si>
    <t>UDAIPUR</t>
  </si>
  <si>
    <t>ULHASNAGAR</t>
  </si>
  <si>
    <t>BHAVNAGAR</t>
  </si>
  <si>
    <t>BATHINDA</t>
  </si>
  <si>
    <t>MANIPAL</t>
  </si>
  <si>
    <t>CHENGAPALLI</t>
  </si>
  <si>
    <t>JAMSHEDPUR</t>
  </si>
  <si>
    <t>NANJANGUDU</t>
  </si>
  <si>
    <t>GANGTOK</t>
  </si>
  <si>
    <t>CHANNARAYAPATNA</t>
  </si>
  <si>
    <t>PURI</t>
  </si>
  <si>
    <t>JAMMU</t>
  </si>
  <si>
    <t>SIRA</t>
  </si>
  <si>
    <t>DHANBAD</t>
  </si>
  <si>
    <t>ANAND</t>
  </si>
  <si>
    <t>JAMNAGAR</t>
  </si>
  <si>
    <t>GOOTY</t>
  </si>
  <si>
    <t>SOLAN</t>
  </si>
  <si>
    <t>OOTY</t>
  </si>
  <si>
    <t>KARWAR</t>
  </si>
  <si>
    <t>PALAKKAD</t>
  </si>
  <si>
    <t>GOWRAVARAM</t>
  </si>
  <si>
    <t>KUNIGAL</t>
  </si>
  <si>
    <t>BHUBANESHWAR</t>
  </si>
  <si>
    <t>HUBLI</t>
  </si>
  <si>
    <t>VALSAD</t>
  </si>
  <si>
    <t>ULUNDURPET</t>
  </si>
  <si>
    <t>PONDICHERRY</t>
  </si>
  <si>
    <t>NEW</t>
  </si>
  <si>
    <t>NELLORE.</t>
  </si>
  <si>
    <t>THRISSUR</t>
  </si>
  <si>
    <t>PALAMPUR</t>
  </si>
  <si>
    <t>MADDUR</t>
  </si>
  <si>
    <t>AMBALA</t>
  </si>
  <si>
    <t>RAIPUR</t>
  </si>
  <si>
    <t>NAINITAL</t>
  </si>
  <si>
    <t>DASUYA</t>
  </si>
  <si>
    <t>AGRA</t>
  </si>
  <si>
    <t>KAKINADA.</t>
  </si>
  <si>
    <t>BERHAMPUR</t>
  </si>
  <si>
    <t>AMARAVATI</t>
  </si>
  <si>
    <t>BELLUR</t>
  </si>
  <si>
    <t>CUDDALORE</t>
  </si>
  <si>
    <t>KOLAR</t>
  </si>
  <si>
    <t>GUNDULPET</t>
  </si>
  <si>
    <t>GAYA</t>
  </si>
  <si>
    <t>GUNTUR.</t>
  </si>
  <si>
    <t>GANDHINAGAR</t>
  </si>
  <si>
    <t>FARIDABAD</t>
  </si>
  <si>
    <t>SHILONG</t>
  </si>
  <si>
    <t>CHITTOR.</t>
  </si>
  <si>
    <t>NALGONDA</t>
  </si>
  <si>
    <t>THIRUVANANTHAPURAM</t>
  </si>
  <si>
    <t>SHIRDI</t>
  </si>
  <si>
    <t>VILLAGE</t>
  </si>
  <si>
    <t>COCHIN</t>
  </si>
  <si>
    <t>SHIVKHEDAPUR</t>
  </si>
  <si>
    <t>NAVI</t>
  </si>
  <si>
    <t>VARANASI</t>
  </si>
  <si>
    <t>PHAGWARA</t>
  </si>
  <si>
    <t>DHARWAD</t>
  </si>
  <si>
    <t>MYSORE</t>
  </si>
  <si>
    <t>SHIVAMOGGA</t>
  </si>
  <si>
    <t>HALDWANI</t>
  </si>
  <si>
    <t>AMRITSAR</t>
  </si>
  <si>
    <t>PATNA</t>
  </si>
  <si>
    <t>RAJKOT</t>
  </si>
  <si>
    <t>NASIK</t>
  </si>
  <si>
    <t>BELGAUM</t>
  </si>
  <si>
    <t>RANCHI</t>
  </si>
  <si>
    <t>BARDHAMAN</t>
  </si>
  <si>
    <t>CHICKMAGALUR</t>
  </si>
  <si>
    <t>YERMAL</t>
  </si>
  <si>
    <t>MADURAI</t>
  </si>
  <si>
    <t>BENGALURU</t>
  </si>
  <si>
    <t>DAVANGERE</t>
  </si>
  <si>
    <t>ARASIKERE</t>
  </si>
  <si>
    <t>VIJAYAWADA.</t>
  </si>
  <si>
    <t>TRICHY</t>
  </si>
  <si>
    <t>JODHPUR</t>
  </si>
  <si>
    <t>KHARAGPUR</t>
  </si>
  <si>
    <t>SATARA</t>
  </si>
  <si>
    <t>GHAZIABAD</t>
  </si>
  <si>
    <t>KOTA</t>
  </si>
  <si>
    <t>ROURKELA</t>
  </si>
  <si>
    <t>KUNDAPUR</t>
  </si>
  <si>
    <t>LAVASA</t>
  </si>
  <si>
    <t>LUDHIANA</t>
  </si>
  <si>
    <t>SANGLI</t>
  </si>
  <si>
    <t>KRISHNAGIRI</t>
  </si>
  <si>
    <t>TUMKUR</t>
  </si>
  <si>
    <t>PATIALA</t>
  </si>
  <si>
    <t>ZIRAKPUR</t>
  </si>
  <si>
    <t>BHOPAL</t>
  </si>
  <si>
    <t>COIMBATORE</t>
  </si>
  <si>
    <t>ROORKEE</t>
  </si>
  <si>
    <t>MANGALORE</t>
  </si>
  <si>
    <t>VIZIANAGARAM.</t>
  </si>
  <si>
    <t>SOLAPUR</t>
  </si>
  <si>
    <t>PATHANKOT</t>
  </si>
  <si>
    <t>SAHARANPUR</t>
  </si>
  <si>
    <t>JALANDHAR</t>
  </si>
  <si>
    <t>NAGPUR</t>
  </si>
  <si>
    <t>JAIPUR</t>
  </si>
  <si>
    <t>MEERUT</t>
  </si>
  <si>
    <t>LUCKNOW</t>
  </si>
  <si>
    <t>SURAT</t>
  </si>
  <si>
    <t>VIZAG.</t>
  </si>
  <si>
    <t>INDORE</t>
  </si>
  <si>
    <t>NASHIK</t>
  </si>
  <si>
    <t>GWALIOR</t>
  </si>
  <si>
    <t>DEHRADUN</t>
  </si>
  <si>
    <t>GOA</t>
  </si>
  <si>
    <t>THANE</t>
  </si>
  <si>
    <t>PANCHKULA</t>
  </si>
  <si>
    <t>AHMEDABAD</t>
  </si>
  <si>
    <t>MOHALI</t>
  </si>
  <si>
    <t>NOIDA</t>
  </si>
  <si>
    <t>GURGAON</t>
  </si>
  <si>
    <t>GUWAHATI</t>
  </si>
  <si>
    <t>AURANGABAD</t>
  </si>
  <si>
    <t>CHANDIGAR</t>
  </si>
  <si>
    <r>
      <t>Bangalore</t>
    </r>
    <r>
      <rPr>
        <sz val="12"/>
        <color theme="1"/>
        <rFont val="Aptos Narrow"/>
        <family val="2"/>
        <scheme val="minor"/>
      </rPr>
      <t xml:space="preserve"> is the "Premium" champion—fewer orders, but people buy more expensive items or larger quantities.</t>
    </r>
  </si>
  <si>
    <t>BARODA</t>
  </si>
  <si>
    <t>HYDERABAD</t>
  </si>
  <si>
    <r>
      <t>Pune</t>
    </r>
    <r>
      <rPr>
        <sz val="12"/>
        <color theme="1"/>
        <rFont val="Aptos Narrow"/>
        <family val="2"/>
        <scheme val="minor"/>
      </rPr>
      <t xml:space="preserve"> is the "Mass Market" champion—high volume, standard spending.</t>
    </r>
  </si>
  <si>
    <t>KOLKATA</t>
  </si>
  <si>
    <t>Pune tops the list . However avg order in Pune is 253 whereas in bangalore in 380 which means Pune it is "mass market" whereas in Bangalore it is "Premium" . Even if the revenue is less , they spend on expensive items.</t>
  </si>
  <si>
    <t>MUMBAI</t>
  </si>
  <si>
    <t>CHENNAI</t>
  </si>
  <si>
    <t>Top 10 cities contribute to 50% revenue</t>
  </si>
  <si>
    <t>DELHI</t>
  </si>
  <si>
    <t>Top 12 cities contribute to 65% revenue</t>
  </si>
  <si>
    <t>BANGALORE</t>
  </si>
  <si>
    <t>PUNE</t>
  </si>
  <si>
    <t>% revenue from city</t>
  </si>
  <si>
    <t>avg_order_value</t>
  </si>
  <si>
    <t>total_revenue</t>
  </si>
  <si>
    <t>total_orders</t>
  </si>
  <si>
    <t>city</t>
  </si>
  <si>
    <t xml:space="preserve">However, customers are using the loyalty points and revenue also increases  means we have good customer retention </t>
  </si>
  <si>
    <t>customers using loyalyty program increases steadily from Jun to Aug'18 but decreases slightly by Sep'18</t>
  </si>
  <si>
    <t>loyalty_penetration_percent</t>
  </si>
  <si>
    <t>total_points_redeemed</t>
  </si>
  <si>
    <t>sales_month</t>
  </si>
  <si>
    <t>is this because of loyalty program ?</t>
  </si>
  <si>
    <t>We are seeing 185% jump from Q2 end of period to Q3 end of period</t>
  </si>
  <si>
    <t>monthly_revenue</t>
  </si>
  <si>
    <t>Grand Total</t>
  </si>
  <si>
    <t>4 items Total</t>
  </si>
  <si>
    <t>Combos</t>
  </si>
  <si>
    <t>Other</t>
  </si>
  <si>
    <t>4 items</t>
  </si>
  <si>
    <t>3 items Total</t>
  </si>
  <si>
    <t>Food &amp; Snacks</t>
  </si>
  <si>
    <t>Cold Beverages (Non-Coffee)</t>
  </si>
  <si>
    <t>Desserts &amp; Add-ons</t>
  </si>
  <si>
    <t>3 items</t>
  </si>
  <si>
    <t>two items Total</t>
  </si>
  <si>
    <t>Cold Coffee</t>
  </si>
  <si>
    <t>If there is a cross -catrgory pair purchases is promoted, there will be ~200K increase in revenue in a quarter</t>
  </si>
  <si>
    <t>two items</t>
  </si>
  <si>
    <t>Hot Coffee</t>
  </si>
  <si>
    <t>We will get 10% increase in revenue if 20% of "Fodd &amp;Snack" buyers buy coffee as  second item for 50% off</t>
  </si>
  <si>
    <t>one item</t>
  </si>
  <si>
    <t>We will get 15% increase in reveneu if 20% of coffee drinkers buy "Food &amp;Snacks" as  second item for 50% off</t>
  </si>
  <si>
    <t>one item Total</t>
  </si>
  <si>
    <t>Rev</t>
  </si>
  <si>
    <t>Tea</t>
  </si>
  <si>
    <t>#Txn</t>
  </si>
  <si>
    <t>Food &amp;snack</t>
  </si>
  <si>
    <t>Giving 50% off</t>
  </si>
  <si>
    <t>~ 20% customers buy food and beverage</t>
  </si>
  <si>
    <t>Average revenue</t>
  </si>
  <si>
    <t>Sum of tot_rev</t>
  </si>
  <si>
    <t>Sum of cnt</t>
  </si>
  <si>
    <t>item_category</t>
  </si>
  <si>
    <t>txn_bucket</t>
  </si>
  <si>
    <t>Data</t>
  </si>
  <si>
    <t>tot_rev</t>
  </si>
  <si>
    <t>cnt</t>
  </si>
  <si>
    <t>We can pair coffee with "Food &amp; Snacks" to get 50% off for second item purchased</t>
  </si>
  <si>
    <t>From data , it is clear coffee is the top selling item and "Food &amp;Snacks" is the second most sold items</t>
  </si>
  <si>
    <t>Hot Drinks</t>
  </si>
  <si>
    <t>%Rev</t>
  </si>
  <si>
    <t>%Qty sold</t>
  </si>
  <si>
    <t>Sum of total_revenue</t>
  </si>
  <si>
    <t>Sum of quantity_sold</t>
  </si>
  <si>
    <t>Row Labels</t>
  </si>
  <si>
    <t>add second item for 50% off for that most frequently bought item</t>
  </si>
  <si>
    <t>and what is the frequntly bought item (coffee , presume)</t>
  </si>
  <si>
    <t>Find no of transactions who buy single item</t>
  </si>
  <si>
    <t>Let us check if this works for Pune market</t>
  </si>
  <si>
    <t>We can reward for second item - like 50% off for second item with a coffee</t>
  </si>
  <si>
    <t>5 items</t>
  </si>
  <si>
    <t>More than 95% of times, customer do only one item purchase</t>
  </si>
  <si>
    <t xml:space="preserve">Checked how many items do customer purchase during each trasaction. </t>
  </si>
  <si>
    <t>Want to check if campaigns like "Buy 3 and get 1 Free" will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</si>
</sst>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164" fontId="0" fillId="0" borderId="0" xfId="0" applyNumberFormat="1"/>
    <xf numFmtId="9" fontId="1" fillId="0" borderId="1" xfId="2" applyFont="1" applyBorder="1"/>
    <xf numFmtId="164" fontId="1" fillId="0" borderId="1" xfId="1" applyNumberFormat="1" applyFont="1" applyBorder="1"/>
    <xf numFmtId="0" fontId="0" fillId="0" borderId="1" xfId="0" applyBorder="1"/>
    <xf numFmtId="0" fontId="3" fillId="0" borderId="0" xfId="0" applyFont="1"/>
    <xf numFmtId="0" fontId="4" fillId="0" borderId="1" xfId="0" applyFont="1" applyBorder="1"/>
    <xf numFmtId="9" fontId="1" fillId="0" borderId="0" xfId="2" applyFont="1"/>
    <xf numFmtId="10" fontId="1" fillId="0" borderId="1" xfId="2" applyNumberFormat="1" applyFont="1" applyBorder="1"/>
    <xf numFmtId="14" fontId="0" fillId="0" borderId="1" xfId="0" applyNumberFormat="1" applyBorder="1"/>
    <xf numFmtId="165" fontId="0" fillId="0" borderId="0" xfId="2" applyNumberFormat="1" applyFont="1" applyBorder="1"/>
    <xf numFmtId="164" fontId="0" fillId="0" borderId="2" xfId="0" applyNumberFormat="1" applyBorder="1"/>
    <xf numFmtId="0" fontId="0" fillId="0" borderId="3" xfId="0" applyBorder="1"/>
    <xf numFmtId="0" fontId="0" fillId="0" borderId="4" xfId="0" applyBorder="1"/>
    <xf numFmtId="164" fontId="0" fillId="0" borderId="5" xfId="0" applyNumberFormat="1" applyBorder="1"/>
    <xf numFmtId="0" fontId="0" fillId="0" borderId="6" xfId="0" applyBorder="1"/>
    <xf numFmtId="0" fontId="0" fillId="0" borderId="7" xfId="0" applyBorder="1"/>
    <xf numFmtId="164" fontId="0" fillId="0" borderId="8" xfId="0" applyNumberFormat="1" applyBorder="1"/>
    <xf numFmtId="0" fontId="0" fillId="0" borderId="9" xfId="0" applyBorder="1"/>
    <xf numFmtId="0" fontId="0" fillId="0" borderId="10" xfId="0" applyBorder="1"/>
    <xf numFmtId="165" fontId="0" fillId="0" borderId="0" xfId="2" applyNumberFormat="1" applyFont="1"/>
    <xf numFmtId="164" fontId="0" fillId="0" borderId="1" xfId="1" applyNumberFormat="1" applyFont="1" applyBorder="1"/>
    <xf numFmtId="43" fontId="0" fillId="0" borderId="0" xfId="0" applyNumberFormat="1"/>
    <xf numFmtId="9" fontId="0" fillId="0" borderId="0" xfId="2" applyFont="1"/>
    <xf numFmtId="164" fontId="2" fillId="0" borderId="8" xfId="0" applyNumberFormat="1" applyFont="1" applyBorder="1"/>
    <xf numFmtId="0" fontId="2" fillId="0" borderId="9" xfId="0" applyFont="1" applyBorder="1"/>
    <xf numFmtId="0" fontId="2" fillId="0" borderId="11" xfId="0" applyFont="1" applyBorder="1"/>
    <xf numFmtId="0" fontId="0" fillId="0" borderId="5" xfId="0" applyBorder="1"/>
    <xf numFmtId="0" fontId="0" fillId="0" borderId="6" xfId="0" pivotButton="1" applyBorder="1"/>
    <xf numFmtId="0" fontId="0" fillId="0" borderId="12" xfId="0" applyBorder="1"/>
    <xf numFmtId="164" fontId="0" fillId="0" borderId="13" xfId="1" applyNumberFormat="1" applyFont="1" applyBorder="1"/>
    <xf numFmtId="9" fontId="0" fillId="0" borderId="1" xfId="2" applyFont="1" applyBorder="1"/>
    <xf numFmtId="9" fontId="4" fillId="0" borderId="1" xfId="2" applyFont="1" applyBorder="1"/>
    <xf numFmtId="164" fontId="4" fillId="0" borderId="1" xfId="1" applyNumberFormat="1" applyFont="1" applyBorder="1"/>
    <xf numFmtId="164" fontId="1" fillId="0" borderId="0" xfId="1" applyNumberFormat="1" applyFont="1"/>
    <xf numFmtId="14" fontId="4" fillId="0" borderId="1" xfId="0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FF00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vs loyalty points</a:t>
            </a:r>
            <a:r>
              <a:rPr lang="en-US" baseline="0"/>
              <a:t> used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'how is café performing'!$B$13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'how is café performing'!$A$14:$A$17</c:f>
              <c:numCache>
                <c:formatCode>m/d/yy</c:formatCode>
                <c:ptCount val="4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</c:numCache>
            </c:numRef>
          </c:cat>
          <c:val>
            <c:numRef>
              <c:f>'how is café performing'!$B$14:$B$17</c:f>
              <c:numCache>
                <c:formatCode>_(* #,##0_);_(* \(#,##0\);_(* "-"??_);_(@_)</c:formatCode>
                <c:ptCount val="4"/>
                <c:pt idx="0">
                  <c:v>610256</c:v>
                </c:pt>
                <c:pt idx="1">
                  <c:v>1136009.5</c:v>
                </c:pt>
                <c:pt idx="2">
                  <c:v>1419504.5</c:v>
                </c:pt>
                <c:pt idx="3">
                  <c:v>1739950.5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90-4A40-B615-F83285A4F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65696"/>
        <c:axId val="1"/>
      </c:barChart>
      <c:lineChart>
        <c:grouping val="standard"/>
        <c:varyColors val="0"/>
        <c:ser>
          <c:idx val="2"/>
          <c:order val="1"/>
          <c:tx>
            <c:strRef>
              <c:f>'how is café performing'!$D$13</c:f>
              <c:strCache>
                <c:ptCount val="1"/>
                <c:pt idx="0">
                  <c:v>loyalty_penetration_percent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'how is café performing'!$A$14:$A$17</c:f>
              <c:numCache>
                <c:formatCode>m/d/yy</c:formatCode>
                <c:ptCount val="4"/>
                <c:pt idx="0">
                  <c:v>43252</c:v>
                </c:pt>
                <c:pt idx="1">
                  <c:v>43282</c:v>
                </c:pt>
                <c:pt idx="2">
                  <c:v>43313</c:v>
                </c:pt>
                <c:pt idx="3">
                  <c:v>43344</c:v>
                </c:pt>
              </c:numCache>
            </c:numRef>
          </c:cat>
          <c:val>
            <c:numRef>
              <c:f>'how is café performing'!$D$14:$D$17</c:f>
              <c:numCache>
                <c:formatCode>0.00%</c:formatCode>
                <c:ptCount val="4"/>
                <c:pt idx="0">
                  <c:v>5.6304239532261872E-2</c:v>
                </c:pt>
                <c:pt idx="1">
                  <c:v>7.0328637216502149E-2</c:v>
                </c:pt>
                <c:pt idx="2">
                  <c:v>8.4548516753557318E-2</c:v>
                </c:pt>
                <c:pt idx="3">
                  <c:v>8.1422431270314871E-2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90-4A40-B615-F83285A4F2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dateAx>
        <c:axId val="6265696"/>
        <c:scaling>
          <c:orientation val="minMax"/>
        </c:scaling>
        <c:delete val="0"/>
        <c:axPos val="b"/>
        <c:numFmt formatCode="m/d/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months"/>
      </c:date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265696"/>
        <c:crosses val="autoZero"/>
        <c:crossBetween val="between"/>
      </c:valAx>
      <c:dateAx>
        <c:axId val="3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4"/>
        <c:crosses val="autoZero"/>
        <c:auto val="1"/>
        <c:lblOffset val="100"/>
        <c:baseTimeUnit val="months"/>
      </c:dateAx>
      <c:valAx>
        <c:axId val="4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city performance - revenue vs avg revenue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'how is café performing'!$C$28</c:f>
              <c:strCache>
                <c:ptCount val="1"/>
                <c:pt idx="0">
                  <c:v>total_revenue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'how is café performing'!$A$29:$A$38</c:f>
              <c:strCache>
                <c:ptCount val="10"/>
                <c:pt idx="0">
                  <c:v>PUNE</c:v>
                </c:pt>
                <c:pt idx="1">
                  <c:v>BANGALORE</c:v>
                </c:pt>
                <c:pt idx="2">
                  <c:v>DELHI</c:v>
                </c:pt>
                <c:pt idx="3">
                  <c:v>CHENNAI</c:v>
                </c:pt>
                <c:pt idx="4">
                  <c:v>MUMBAI</c:v>
                </c:pt>
                <c:pt idx="5">
                  <c:v>KOLKATA</c:v>
                </c:pt>
                <c:pt idx="6">
                  <c:v>HYDERABAD</c:v>
                </c:pt>
                <c:pt idx="7">
                  <c:v>BARODA</c:v>
                </c:pt>
                <c:pt idx="8">
                  <c:v>CHANDIGAR</c:v>
                </c:pt>
                <c:pt idx="9">
                  <c:v>AURANGABAD</c:v>
                </c:pt>
              </c:strCache>
            </c:strRef>
          </c:cat>
          <c:val>
            <c:numRef>
              <c:f>'how is café performing'!$C$29:$C$38</c:f>
              <c:numCache>
                <c:formatCode>_(* #,##0_);_(* \(#,##0\);_(* "-"??_);_(@_)</c:formatCode>
                <c:ptCount val="10"/>
                <c:pt idx="0">
                  <c:v>652105</c:v>
                </c:pt>
                <c:pt idx="1">
                  <c:v>642579.5</c:v>
                </c:pt>
                <c:pt idx="2">
                  <c:v>496314.5</c:v>
                </c:pt>
                <c:pt idx="3">
                  <c:v>323748.5</c:v>
                </c:pt>
                <c:pt idx="4">
                  <c:v>308689</c:v>
                </c:pt>
                <c:pt idx="5">
                  <c:v>160175</c:v>
                </c:pt>
                <c:pt idx="6">
                  <c:v>130060</c:v>
                </c:pt>
                <c:pt idx="7">
                  <c:v>105231.5</c:v>
                </c:pt>
                <c:pt idx="8">
                  <c:v>101753</c:v>
                </c:pt>
                <c:pt idx="9">
                  <c:v>91511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80-1949-9625-C4590004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52950127"/>
        <c:axId val="1"/>
      </c:barChart>
      <c:lineChart>
        <c:grouping val="standard"/>
        <c:varyColors val="0"/>
        <c:ser>
          <c:idx val="2"/>
          <c:order val="1"/>
          <c:tx>
            <c:strRef>
              <c:f>'how is café performing'!$D$28</c:f>
              <c:strCache>
                <c:ptCount val="1"/>
                <c:pt idx="0">
                  <c:v>avg_order_value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'how is café performing'!$A$29:$A$38</c:f>
              <c:strCache>
                <c:ptCount val="10"/>
                <c:pt idx="0">
                  <c:v>PUNE</c:v>
                </c:pt>
                <c:pt idx="1">
                  <c:v>BANGALORE</c:v>
                </c:pt>
                <c:pt idx="2">
                  <c:v>DELHI</c:v>
                </c:pt>
                <c:pt idx="3">
                  <c:v>CHENNAI</c:v>
                </c:pt>
                <c:pt idx="4">
                  <c:v>MUMBAI</c:v>
                </c:pt>
                <c:pt idx="5">
                  <c:v>KOLKATA</c:v>
                </c:pt>
                <c:pt idx="6">
                  <c:v>HYDERABAD</c:v>
                </c:pt>
                <c:pt idx="7">
                  <c:v>BARODA</c:v>
                </c:pt>
                <c:pt idx="8">
                  <c:v>CHANDIGAR</c:v>
                </c:pt>
                <c:pt idx="9">
                  <c:v>AURANGABAD</c:v>
                </c:pt>
              </c:strCache>
            </c:strRef>
          </c:cat>
          <c:val>
            <c:numRef>
              <c:f>'how is café performing'!$D$29:$D$38</c:f>
              <c:numCache>
                <c:formatCode>_(* #,##0_);_(* \(#,##0\);_(* "-"??_);_(@_)</c:formatCode>
                <c:ptCount val="10"/>
                <c:pt idx="0">
                  <c:v>253.15</c:v>
                </c:pt>
                <c:pt idx="1">
                  <c:v>380.22</c:v>
                </c:pt>
                <c:pt idx="2">
                  <c:v>343.71</c:v>
                </c:pt>
                <c:pt idx="3">
                  <c:v>365.4</c:v>
                </c:pt>
                <c:pt idx="4">
                  <c:v>272.93</c:v>
                </c:pt>
                <c:pt idx="5">
                  <c:v>243.06</c:v>
                </c:pt>
                <c:pt idx="6">
                  <c:v>295.58999999999997</c:v>
                </c:pt>
                <c:pt idx="7">
                  <c:v>274.04000000000002</c:v>
                </c:pt>
                <c:pt idx="8">
                  <c:v>255.02</c:v>
                </c:pt>
                <c:pt idx="9">
                  <c:v>257.77999999999997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80-1949-9625-C4590004D8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"/>
        <c:axId val="4"/>
      </c:lineChart>
      <c:catAx>
        <c:axId val="105295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2950127"/>
        <c:crosses val="autoZero"/>
        <c:crossBetween val="between"/>
      </c:valAx>
      <c:catAx>
        <c:axId val="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"/>
        <c:crosses val="autoZero"/>
        <c:auto val="1"/>
        <c:lblAlgn val="ctr"/>
        <c:lblOffset val="100"/>
        <c:noMultiLvlLbl val="0"/>
      </c:catAx>
      <c:valAx>
        <c:axId val="4"/>
        <c:scaling>
          <c:orientation val="minMax"/>
        </c:scaling>
        <c:delete val="0"/>
        <c:axPos val="r"/>
        <c:numFmt formatCode="_(* #,##0_);_(* \(#,##0\);_(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"/>
        <c:crosses val="max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8</xdr:row>
      <xdr:rowOff>177800</xdr:rowOff>
    </xdr:from>
    <xdr:to>
      <xdr:col>10</xdr:col>
      <xdr:colOff>50800</xdr:colOff>
      <xdr:row>22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3504467-E4A8-4149-A620-78433904B7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444500</xdr:colOff>
      <xdr:row>36</xdr:row>
      <xdr:rowOff>101600</xdr:rowOff>
    </xdr:from>
    <xdr:to>
      <xdr:col>11</xdr:col>
      <xdr:colOff>63500</xdr:colOff>
      <xdr:row>50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FAAAEA8-4A52-BF48-BE57-8C35DA4AF8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JEETHA VJAYAN" refreshedDate="46079.510150694441" createdVersion="1" refreshedVersion="8" recordCount="21" xr:uid="{79E5DD78-5586-3E40-854F-C8EF8A0F9952}">
  <cacheSource type="worksheet">
    <worksheetSource ref="A38:D59" sheet="Design a campaign"/>
  </cacheSource>
  <cacheFields count="4">
    <cacheField name="item_category" numFmtId="0">
      <sharedItems count="8">
        <s v="Other"/>
        <s v="Hot Coffee"/>
        <s v="Tea"/>
        <s v="Cold Coffee"/>
        <s v="Food &amp; Snacks"/>
        <s v="Desserts &amp; Add-ons"/>
        <s v="Combos"/>
        <s v="Cold Beverages (Non-Coffee)"/>
      </sharedItems>
    </cacheField>
    <cacheField name="txn_bucket" numFmtId="0">
      <sharedItems count="4">
        <s v="one item"/>
        <s v="two items"/>
        <s v="3 items"/>
        <s v="4 items"/>
      </sharedItems>
    </cacheField>
    <cacheField name="cnt" numFmtId="164">
      <sharedItems containsSemiMixedTypes="0" containsString="0" containsNumber="1" containsInteger="1" minValue="1" maxValue="3870"/>
    </cacheField>
    <cacheField name="tot_rev" numFmtId="164">
      <sharedItems containsSemiMixedTypes="0" containsString="0" containsNumber="1" minValue="73" maxValue="1173226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x v="0"/>
    <x v="0"/>
    <n v="3870"/>
    <n v="1173226.5"/>
  </r>
  <r>
    <x v="0"/>
    <x v="1"/>
    <n v="72"/>
    <n v="33551.5"/>
  </r>
  <r>
    <x v="0"/>
    <x v="2"/>
    <n v="4"/>
    <n v="2757.5"/>
  </r>
  <r>
    <x v="1"/>
    <x v="0"/>
    <n v="3755"/>
    <n v="816410.5"/>
  </r>
  <r>
    <x v="1"/>
    <x v="1"/>
    <n v="37"/>
    <n v="11876"/>
  </r>
  <r>
    <x v="2"/>
    <x v="0"/>
    <n v="520"/>
    <n v="138575.5"/>
  </r>
  <r>
    <x v="3"/>
    <x v="0"/>
    <n v="3067"/>
    <n v="762607.5"/>
  </r>
  <r>
    <x v="4"/>
    <x v="1"/>
    <n v="61"/>
    <n v="25813"/>
  </r>
  <r>
    <x v="4"/>
    <x v="0"/>
    <n v="3070"/>
    <n v="1025246.5"/>
  </r>
  <r>
    <x v="5"/>
    <x v="1"/>
    <n v="32"/>
    <n v="10124.5"/>
  </r>
  <r>
    <x v="5"/>
    <x v="0"/>
    <n v="1787"/>
    <n v="544672"/>
  </r>
  <r>
    <x v="6"/>
    <x v="3"/>
    <n v="1"/>
    <n v="157.5"/>
  </r>
  <r>
    <x v="6"/>
    <x v="1"/>
    <n v="22"/>
    <n v="6943"/>
  </r>
  <r>
    <x v="6"/>
    <x v="0"/>
    <n v="894"/>
    <n v="234963"/>
  </r>
  <r>
    <x v="3"/>
    <x v="1"/>
    <n v="15"/>
    <n v="4692.5"/>
  </r>
  <r>
    <x v="4"/>
    <x v="2"/>
    <n v="1"/>
    <n v="200.5"/>
  </r>
  <r>
    <x v="7"/>
    <x v="0"/>
    <n v="495"/>
    <n v="113308.5"/>
  </r>
  <r>
    <x v="7"/>
    <x v="2"/>
    <n v="1"/>
    <n v="73"/>
  </r>
  <r>
    <x v="7"/>
    <x v="1"/>
    <n v="2"/>
    <n v="264.5"/>
  </r>
  <r>
    <x v="0"/>
    <x v="3"/>
    <n v="1"/>
    <n v="127"/>
  </r>
  <r>
    <x v="5"/>
    <x v="2"/>
    <n v="2"/>
    <n v="1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A4D8A-E7A1-5045-BF7D-C0F9DE41430D}" name="PivotTable8" cacheId="44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 chartFormat="1">
  <location ref="F43:I70" firstHeaderRow="1" firstDataRow="2" firstDataCol="2"/>
  <pivotFields count="4">
    <pivotField axis="axisRow" compact="0" outline="0" showAll="0" includeNewItemsInFilter="1" sortType="descending">
      <items count="9">
        <item x="7"/>
        <item x="3"/>
        <item x="6"/>
        <item x="5"/>
        <item x="4"/>
        <item x="1"/>
        <item x="0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compact="0" outline="0" showAll="0" includeNewItemsInFilter="1">
      <items count="5">
        <item x="0"/>
        <item x="1"/>
        <item x="2"/>
        <item x="3"/>
        <item t="default"/>
      </items>
    </pivotField>
    <pivotField dataField="1" compact="0" outline="0" showAll="0" includeNewItemsInFilter="1"/>
    <pivotField dataField="1" compact="0" numFmtId="164" outline="0" showAll="0" includeNewItemsInFilter="1"/>
  </pivotFields>
  <rowFields count="2">
    <field x="1"/>
    <field x="0"/>
  </rowFields>
  <rowItems count="26">
    <i>
      <x/>
      <x v="6"/>
    </i>
    <i r="1">
      <x v="5"/>
    </i>
    <i r="1">
      <x v="4"/>
    </i>
    <i r="1">
      <x v="1"/>
    </i>
    <i r="1">
      <x v="3"/>
    </i>
    <i r="1">
      <x v="2"/>
    </i>
    <i r="1">
      <x v="7"/>
    </i>
    <i r="1">
      <x/>
    </i>
    <i t="default">
      <x/>
    </i>
    <i>
      <x v="1"/>
      <x v="6"/>
    </i>
    <i r="1">
      <x v="4"/>
    </i>
    <i r="1">
      <x v="5"/>
    </i>
    <i r="1">
      <x v="3"/>
    </i>
    <i r="1">
      <x v="2"/>
    </i>
    <i r="1">
      <x v="1"/>
    </i>
    <i r="1">
      <x/>
    </i>
    <i t="default">
      <x v="1"/>
    </i>
    <i>
      <x v="2"/>
      <x v="6"/>
    </i>
    <i r="1">
      <x v="3"/>
    </i>
    <i r="1">
      <x/>
    </i>
    <i r="1">
      <x v="4"/>
    </i>
    <i t="default">
      <x v="2"/>
    </i>
    <i>
      <x v="3"/>
      <x v="6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cnt" fld="2" baseField="0" baseItem="0"/>
    <dataField name="Sum of tot_rev" fld="3" baseField="0" baseItem="0" numFmtId="164"/>
  </dataFields>
  <formats count="2">
    <format dxfId="0">
      <pivotArea outline="0" fieldPosition="0">
        <references count="2">
          <reference field="0" count="1" selected="0">
            <x v="5"/>
          </reference>
          <reference field="1" count="1" selected="0">
            <x v="0"/>
          </reference>
        </references>
      </pivotArea>
    </format>
    <format dxfId="1">
      <pivotArea outline="0" fieldPosition="0">
        <references count="2">
          <reference field="0" count="1" selected="0">
            <x v="4"/>
          </reference>
          <reference field="1" count="1" selected="0">
            <x v="0"/>
          </reference>
        </references>
      </pivotArea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6DC63-DEBB-1F48-9D75-1CC1C2150EB0}">
  <dimension ref="A2:G238"/>
  <sheetViews>
    <sheetView tabSelected="1" workbookViewId="0">
      <selection activeCell="B28" sqref="B28"/>
    </sheetView>
  </sheetViews>
  <sheetFormatPr baseColWidth="10" defaultRowHeight="16" x14ac:dyDescent="0.2"/>
  <cols>
    <col min="1" max="1" width="13" bestFit="1" customWidth="1"/>
    <col min="2" max="2" width="44.1640625" bestFit="1" customWidth="1"/>
    <col min="3" max="3" width="35.5" bestFit="1" customWidth="1"/>
    <col min="4" max="4" width="24.33203125" bestFit="1" customWidth="1"/>
    <col min="5" max="5" width="17.33203125" bestFit="1" customWidth="1"/>
  </cols>
  <sheetData>
    <row r="2" spans="1:4" x14ac:dyDescent="0.2">
      <c r="A2" s="6" t="s">
        <v>223</v>
      </c>
      <c r="B2" s="6" t="s">
        <v>226</v>
      </c>
      <c r="C2" s="6" t="s">
        <v>217</v>
      </c>
    </row>
    <row r="3" spans="1:4" x14ac:dyDescent="0.2">
      <c r="A3" s="9">
        <v>43252</v>
      </c>
      <c r="B3" s="3">
        <v>610256</v>
      </c>
      <c r="C3" s="3">
        <v>2423</v>
      </c>
    </row>
    <row r="4" spans="1:4" x14ac:dyDescent="0.2">
      <c r="A4" s="9">
        <v>43282</v>
      </c>
      <c r="B4" s="3">
        <v>1136009.5</v>
      </c>
      <c r="C4" s="3">
        <v>3867</v>
      </c>
    </row>
    <row r="5" spans="1:4" x14ac:dyDescent="0.2">
      <c r="A5" s="9">
        <v>43313</v>
      </c>
      <c r="B5" s="3">
        <v>1419504.5</v>
      </c>
      <c r="C5" s="3">
        <v>5051</v>
      </c>
    </row>
    <row r="6" spans="1:4" x14ac:dyDescent="0.2">
      <c r="A6" s="9">
        <v>43344</v>
      </c>
      <c r="B6" s="3">
        <v>1739950.5</v>
      </c>
      <c r="C6" s="3">
        <v>5823</v>
      </c>
    </row>
    <row r="8" spans="1:4" x14ac:dyDescent="0.2">
      <c r="B8" s="7">
        <f>(B6-B3)/B3</f>
        <v>1.8511813075168453</v>
      </c>
      <c r="C8" s="7">
        <f>(C6-C3)/C3</f>
        <v>1.4032191498142799</v>
      </c>
    </row>
    <row r="10" spans="1:4" x14ac:dyDescent="0.2">
      <c r="A10" t="s">
        <v>225</v>
      </c>
    </row>
    <row r="11" spans="1:4" x14ac:dyDescent="0.2">
      <c r="A11" t="s">
        <v>224</v>
      </c>
    </row>
    <row r="13" spans="1:4" x14ac:dyDescent="0.2">
      <c r="A13" s="6" t="s">
        <v>223</v>
      </c>
      <c r="B13" s="6" t="s">
        <v>216</v>
      </c>
      <c r="C13" s="6" t="s">
        <v>222</v>
      </c>
      <c r="D13" s="6" t="s">
        <v>221</v>
      </c>
    </row>
    <row r="14" spans="1:4" x14ac:dyDescent="0.2">
      <c r="A14" s="9">
        <v>43252</v>
      </c>
      <c r="B14" s="3">
        <v>610256</v>
      </c>
      <c r="C14" s="3">
        <v>34360</v>
      </c>
      <c r="D14" s="8">
        <f>C14/B14</f>
        <v>5.6304239532261872E-2</v>
      </c>
    </row>
    <row r="15" spans="1:4" x14ac:dyDescent="0.2">
      <c r="A15" s="9">
        <v>43282</v>
      </c>
      <c r="B15" s="3">
        <v>1136009.5</v>
      </c>
      <c r="C15" s="3">
        <v>79894</v>
      </c>
      <c r="D15" s="8">
        <f>C15/B15</f>
        <v>7.0328637216502149E-2</v>
      </c>
    </row>
    <row r="16" spans="1:4" x14ac:dyDescent="0.2">
      <c r="A16" s="9">
        <v>43313</v>
      </c>
      <c r="B16" s="3">
        <v>1419504.5</v>
      </c>
      <c r="C16" s="3">
        <v>120017</v>
      </c>
      <c r="D16" s="8">
        <f>C16/B16</f>
        <v>8.4548516753557318E-2</v>
      </c>
    </row>
    <row r="17" spans="1:7" x14ac:dyDescent="0.2">
      <c r="A17" s="9">
        <v>43344</v>
      </c>
      <c r="B17" s="3">
        <v>1739950.5</v>
      </c>
      <c r="C17" s="3">
        <v>141671</v>
      </c>
      <c r="D17" s="8">
        <f>C17/B17</f>
        <v>8.1422431270314871E-2</v>
      </c>
    </row>
    <row r="19" spans="1:7" x14ac:dyDescent="0.2">
      <c r="D19" s="7"/>
    </row>
    <row r="20" spans="1:7" x14ac:dyDescent="0.2">
      <c r="A20" t="s">
        <v>220</v>
      </c>
    </row>
    <row r="21" spans="1:7" x14ac:dyDescent="0.2">
      <c r="A21" t="s">
        <v>219</v>
      </c>
    </row>
    <row r="28" spans="1:7" x14ac:dyDescent="0.2">
      <c r="A28" s="6" t="s">
        <v>218</v>
      </c>
      <c r="B28" s="6" t="s">
        <v>217</v>
      </c>
      <c r="C28" s="6" t="s">
        <v>216</v>
      </c>
      <c r="D28" s="6" t="s">
        <v>215</v>
      </c>
      <c r="E28" s="6" t="s">
        <v>214</v>
      </c>
    </row>
    <row r="29" spans="1:7" x14ac:dyDescent="0.2">
      <c r="A29" s="4" t="s">
        <v>213</v>
      </c>
      <c r="B29" s="3">
        <v>2576</v>
      </c>
      <c r="C29" s="3">
        <v>652105</v>
      </c>
      <c r="D29" s="3">
        <v>253.15</v>
      </c>
      <c r="E29" s="2">
        <f>C29/$C$238</f>
        <v>0.13292746702548586</v>
      </c>
    </row>
    <row r="30" spans="1:7" x14ac:dyDescent="0.2">
      <c r="A30" s="4" t="s">
        <v>212</v>
      </c>
      <c r="B30" s="3">
        <v>1690</v>
      </c>
      <c r="C30" s="3">
        <v>642579.5</v>
      </c>
      <c r="D30" s="3">
        <v>380.22</v>
      </c>
      <c r="E30" s="2">
        <f>C30/$C$238</f>
        <v>0.13098575428420758</v>
      </c>
      <c r="G30" t="s">
        <v>211</v>
      </c>
    </row>
    <row r="31" spans="1:7" x14ac:dyDescent="0.2">
      <c r="A31" s="4" t="s">
        <v>210</v>
      </c>
      <c r="B31" s="3">
        <v>1444</v>
      </c>
      <c r="C31" s="3">
        <v>496314.5</v>
      </c>
      <c r="D31" s="3">
        <v>343.71</v>
      </c>
      <c r="E31" s="2">
        <f>C31/$C$238</f>
        <v>0.1011705620000161</v>
      </c>
      <c r="G31" t="s">
        <v>209</v>
      </c>
    </row>
    <row r="32" spans="1:7" x14ac:dyDescent="0.2">
      <c r="A32" s="4" t="s">
        <v>208</v>
      </c>
      <c r="B32" s="3">
        <v>886</v>
      </c>
      <c r="C32" s="3">
        <v>323748.5</v>
      </c>
      <c r="D32" s="3">
        <v>365.4</v>
      </c>
      <c r="E32" s="2">
        <f>C32/$C$238</f>
        <v>6.5994077730274284E-2</v>
      </c>
    </row>
    <row r="33" spans="1:7" x14ac:dyDescent="0.2">
      <c r="A33" s="4" t="s">
        <v>207</v>
      </c>
      <c r="B33" s="3">
        <v>1131</v>
      </c>
      <c r="C33" s="3">
        <v>308689</v>
      </c>
      <c r="D33" s="3">
        <v>272.93</v>
      </c>
      <c r="E33" s="2">
        <f>C33/$C$238</f>
        <v>6.2924294198986666E-2</v>
      </c>
      <c r="G33" t="s">
        <v>206</v>
      </c>
    </row>
    <row r="34" spans="1:7" x14ac:dyDescent="0.2">
      <c r="A34" s="4" t="s">
        <v>205</v>
      </c>
      <c r="B34" s="3">
        <v>659</v>
      </c>
      <c r="C34" s="3">
        <v>160175</v>
      </c>
      <c r="D34" s="3">
        <v>243.06</v>
      </c>
      <c r="E34" s="2">
        <f>C34/$C$238</f>
        <v>3.2650657533383733E-2</v>
      </c>
      <c r="G34" s="5" t="s">
        <v>204</v>
      </c>
    </row>
    <row r="35" spans="1:7" x14ac:dyDescent="0.2">
      <c r="A35" s="4" t="s">
        <v>203</v>
      </c>
      <c r="B35" s="3">
        <v>440</v>
      </c>
      <c r="C35" s="3">
        <v>130060</v>
      </c>
      <c r="D35" s="3">
        <v>295.58999999999997</v>
      </c>
      <c r="E35" s="2">
        <f>C35/$C$238</f>
        <v>2.651190584543086E-2</v>
      </c>
    </row>
    <row r="36" spans="1:7" x14ac:dyDescent="0.2">
      <c r="A36" s="4" t="s">
        <v>202</v>
      </c>
      <c r="B36" s="3">
        <v>384</v>
      </c>
      <c r="C36" s="3">
        <v>105231.5</v>
      </c>
      <c r="D36" s="3">
        <v>274.04000000000002</v>
      </c>
      <c r="E36" s="2">
        <f>C36/$C$238</f>
        <v>2.1450773642729952E-2</v>
      </c>
      <c r="G36" s="5" t="s">
        <v>201</v>
      </c>
    </row>
    <row r="37" spans="1:7" x14ac:dyDescent="0.2">
      <c r="A37" s="4" t="s">
        <v>200</v>
      </c>
      <c r="B37" s="3">
        <v>399</v>
      </c>
      <c r="C37" s="3">
        <v>101753</v>
      </c>
      <c r="D37" s="3">
        <v>255.02</v>
      </c>
      <c r="E37" s="2">
        <f>C37/$C$238</f>
        <v>2.0741703486776307E-2</v>
      </c>
    </row>
    <row r="38" spans="1:7" x14ac:dyDescent="0.2">
      <c r="A38" s="4" t="s">
        <v>199</v>
      </c>
      <c r="B38" s="3">
        <v>355</v>
      </c>
      <c r="C38" s="3">
        <v>91511</v>
      </c>
      <c r="D38" s="3">
        <v>257.77999999999997</v>
      </c>
      <c r="E38" s="2">
        <f>C38/$C$238</f>
        <v>1.8653936766271133E-2</v>
      </c>
    </row>
    <row r="39" spans="1:7" x14ac:dyDescent="0.2">
      <c r="A39" s="4" t="s">
        <v>198</v>
      </c>
      <c r="B39" s="3">
        <v>300</v>
      </c>
      <c r="C39" s="3">
        <v>80401</v>
      </c>
      <c r="D39" s="3">
        <v>268</v>
      </c>
      <c r="E39" s="2">
        <f>C39/$C$238</f>
        <v>1.6389233752717874E-2</v>
      </c>
    </row>
    <row r="40" spans="1:7" x14ac:dyDescent="0.2">
      <c r="A40" s="4" t="s">
        <v>197</v>
      </c>
      <c r="B40" s="3">
        <v>409</v>
      </c>
      <c r="C40" s="3">
        <v>79608.5</v>
      </c>
      <c r="D40" s="3">
        <v>194.64</v>
      </c>
      <c r="E40" s="2">
        <f>C40/$C$238</f>
        <v>1.622768765566648E-2</v>
      </c>
    </row>
    <row r="41" spans="1:7" x14ac:dyDescent="0.2">
      <c r="A41" s="4" t="s">
        <v>196</v>
      </c>
      <c r="B41" s="3">
        <v>261</v>
      </c>
      <c r="C41" s="3">
        <v>72838.5</v>
      </c>
      <c r="D41" s="3">
        <v>279.07</v>
      </c>
      <c r="E41" s="2">
        <f>C41/$C$238</f>
        <v>1.4847666107353649E-2</v>
      </c>
    </row>
    <row r="42" spans="1:7" x14ac:dyDescent="0.2">
      <c r="A42" s="4" t="s">
        <v>195</v>
      </c>
      <c r="B42" s="3">
        <v>227</v>
      </c>
      <c r="C42" s="3">
        <v>61598</v>
      </c>
      <c r="D42" s="3">
        <v>271.36</v>
      </c>
      <c r="E42" s="2">
        <f>C42/$C$238</f>
        <v>1.2556361496746502E-2</v>
      </c>
    </row>
    <row r="43" spans="1:7" x14ac:dyDescent="0.2">
      <c r="A43" s="4" t="s">
        <v>194</v>
      </c>
      <c r="B43" s="3">
        <v>194</v>
      </c>
      <c r="C43" s="3">
        <v>54573</v>
      </c>
      <c r="D43" s="3">
        <v>281.3</v>
      </c>
      <c r="E43" s="2">
        <f>C43/$C$238</f>
        <v>1.1124359816259406E-2</v>
      </c>
    </row>
    <row r="44" spans="1:7" x14ac:dyDescent="0.2">
      <c r="A44" s="4" t="s">
        <v>193</v>
      </c>
      <c r="B44" s="3">
        <v>145</v>
      </c>
      <c r="C44" s="3">
        <v>52835</v>
      </c>
      <c r="D44" s="3">
        <v>364.38</v>
      </c>
      <c r="E44" s="2">
        <f>C44/$C$238</f>
        <v>1.0770079542852064E-2</v>
      </c>
    </row>
    <row r="45" spans="1:7" x14ac:dyDescent="0.2">
      <c r="A45" s="4" t="s">
        <v>192</v>
      </c>
      <c r="B45" s="3">
        <v>170</v>
      </c>
      <c r="C45" s="3">
        <v>50945</v>
      </c>
      <c r="D45" s="3">
        <v>299.68</v>
      </c>
      <c r="E45" s="2">
        <f>C45/$C$238</f>
        <v>1.038481503379575E-2</v>
      </c>
    </row>
    <row r="46" spans="1:7" x14ac:dyDescent="0.2">
      <c r="A46" s="4" t="s">
        <v>191</v>
      </c>
      <c r="B46" s="3">
        <v>154</v>
      </c>
      <c r="C46" s="3">
        <v>38647.5</v>
      </c>
      <c r="D46" s="3">
        <v>250.96</v>
      </c>
      <c r="E46" s="2">
        <f>C46/$C$238</f>
        <v>7.8780476792348845E-3</v>
      </c>
    </row>
    <row r="47" spans="1:7" x14ac:dyDescent="0.2">
      <c r="A47" s="4" t="s">
        <v>190</v>
      </c>
      <c r="B47" s="3">
        <v>121</v>
      </c>
      <c r="C47" s="3">
        <v>37585.5</v>
      </c>
      <c r="D47" s="3">
        <v>310.62</v>
      </c>
      <c r="E47" s="2">
        <f>C47/$C$238</f>
        <v>7.661565717003241E-3</v>
      </c>
    </row>
    <row r="48" spans="1:7" x14ac:dyDescent="0.2">
      <c r="A48" s="4" t="s">
        <v>189</v>
      </c>
      <c r="B48" s="3">
        <v>195</v>
      </c>
      <c r="C48" s="3">
        <v>37454</v>
      </c>
      <c r="D48" s="3">
        <v>192.07</v>
      </c>
      <c r="E48" s="2">
        <f>C48/$C$238</f>
        <v>7.6347602762937674E-3</v>
      </c>
    </row>
    <row r="49" spans="1:5" x14ac:dyDescent="0.2">
      <c r="A49" s="4" t="s">
        <v>188</v>
      </c>
      <c r="B49" s="3">
        <v>135</v>
      </c>
      <c r="C49" s="3">
        <v>36526</v>
      </c>
      <c r="D49" s="3">
        <v>270.56</v>
      </c>
      <c r="E49" s="2">
        <f>C49/$C$238</f>
        <v>7.4455933639105609E-3</v>
      </c>
    </row>
    <row r="50" spans="1:5" x14ac:dyDescent="0.2">
      <c r="A50" s="4" t="s">
        <v>187</v>
      </c>
      <c r="B50" s="3">
        <v>100</v>
      </c>
      <c r="C50" s="3">
        <v>34601.5</v>
      </c>
      <c r="D50" s="3">
        <v>346.01</v>
      </c>
      <c r="E50" s="2">
        <f>C50/$C$238</f>
        <v>7.0532962487365519E-3</v>
      </c>
    </row>
    <row r="51" spans="1:5" x14ac:dyDescent="0.2">
      <c r="A51" s="4" t="s">
        <v>186</v>
      </c>
      <c r="B51" s="3">
        <v>107</v>
      </c>
      <c r="C51" s="3">
        <v>34134.5</v>
      </c>
      <c r="D51" s="3">
        <v>319.01</v>
      </c>
      <c r="E51" s="2">
        <f>C51/$C$238</f>
        <v>6.9581012615781927E-3</v>
      </c>
    </row>
    <row r="52" spans="1:5" x14ac:dyDescent="0.2">
      <c r="A52" s="4" t="s">
        <v>185</v>
      </c>
      <c r="B52" s="3">
        <v>150</v>
      </c>
      <c r="C52" s="3">
        <v>33690.5</v>
      </c>
      <c r="D52" s="3">
        <v>224.6</v>
      </c>
      <c r="E52" s="2">
        <f>C52/$C$238</f>
        <v>6.867594678498296E-3</v>
      </c>
    </row>
    <row r="53" spans="1:5" x14ac:dyDescent="0.2">
      <c r="A53" s="4" t="s">
        <v>184</v>
      </c>
      <c r="B53" s="3">
        <v>125</v>
      </c>
      <c r="C53" s="3">
        <v>33560.5</v>
      </c>
      <c r="D53" s="3">
        <v>268.48</v>
      </c>
      <c r="E53" s="2">
        <f>C53/$C$238</f>
        <v>6.8410950032722004E-3</v>
      </c>
    </row>
    <row r="54" spans="1:5" x14ac:dyDescent="0.2">
      <c r="A54" s="4" t="s">
        <v>183</v>
      </c>
      <c r="B54" s="3">
        <v>48</v>
      </c>
      <c r="C54" s="3">
        <v>32115</v>
      </c>
      <c r="D54" s="3">
        <v>669.06</v>
      </c>
      <c r="E54" s="2">
        <f>C54/$C$238</f>
        <v>6.5464389991235746E-3</v>
      </c>
    </row>
    <row r="55" spans="1:5" x14ac:dyDescent="0.2">
      <c r="A55" s="4" t="s">
        <v>182</v>
      </c>
      <c r="B55" s="3">
        <v>134</v>
      </c>
      <c r="C55" s="3">
        <v>31781.5</v>
      </c>
      <c r="D55" s="3">
        <v>237.18</v>
      </c>
      <c r="E55" s="2">
        <f>C55/$C$238</f>
        <v>6.4784571399858597E-3</v>
      </c>
    </row>
    <row r="56" spans="1:5" x14ac:dyDescent="0.2">
      <c r="A56" s="4" t="s">
        <v>181</v>
      </c>
      <c r="B56" s="3">
        <v>117</v>
      </c>
      <c r="C56" s="3">
        <v>31770.5</v>
      </c>
      <c r="D56" s="3">
        <v>271.54000000000002</v>
      </c>
      <c r="E56" s="2">
        <f>C56/$C$238</f>
        <v>6.4762148597744202E-3</v>
      </c>
    </row>
    <row r="57" spans="1:5" x14ac:dyDescent="0.2">
      <c r="A57" s="4" t="s">
        <v>180</v>
      </c>
      <c r="B57" s="3">
        <v>121</v>
      </c>
      <c r="C57" s="3">
        <v>29799</v>
      </c>
      <c r="D57" s="3">
        <v>246.27</v>
      </c>
      <c r="E57" s="2">
        <f>C57/$C$238</f>
        <v>6.0743370927878997E-3</v>
      </c>
    </row>
    <row r="58" spans="1:5" x14ac:dyDescent="0.2">
      <c r="A58" s="4" t="s">
        <v>179</v>
      </c>
      <c r="B58" s="3">
        <v>116</v>
      </c>
      <c r="C58" s="3">
        <v>29535</v>
      </c>
      <c r="D58" s="3">
        <v>254.61</v>
      </c>
      <c r="E58" s="2">
        <f>C58/$C$238</f>
        <v>6.0205223677133662E-3</v>
      </c>
    </row>
    <row r="59" spans="1:5" x14ac:dyDescent="0.2">
      <c r="A59" s="4" t="s">
        <v>178</v>
      </c>
      <c r="B59" s="3">
        <v>54</v>
      </c>
      <c r="C59" s="3">
        <v>29112.5</v>
      </c>
      <c r="D59" s="3">
        <v>539.12</v>
      </c>
      <c r="E59" s="2">
        <f>C59/$C$238</f>
        <v>5.9343984232285551E-3</v>
      </c>
    </row>
    <row r="60" spans="1:5" x14ac:dyDescent="0.2">
      <c r="A60" s="4" t="s">
        <v>177</v>
      </c>
      <c r="B60" s="3">
        <v>93</v>
      </c>
      <c r="C60" s="3">
        <v>28820.5</v>
      </c>
      <c r="D60" s="3">
        <v>309.89999999999998</v>
      </c>
      <c r="E60" s="2">
        <f>C60/$C$238</f>
        <v>5.8748760757976323E-3</v>
      </c>
    </row>
    <row r="61" spans="1:5" x14ac:dyDescent="0.2">
      <c r="A61" s="4" t="s">
        <v>176</v>
      </c>
      <c r="B61" s="3">
        <v>54</v>
      </c>
      <c r="C61" s="3">
        <v>28572.5</v>
      </c>
      <c r="D61" s="3">
        <v>529.12</v>
      </c>
      <c r="E61" s="2">
        <f>C61/$C$238</f>
        <v>5.8243228492124649E-3</v>
      </c>
    </row>
    <row r="62" spans="1:5" x14ac:dyDescent="0.2">
      <c r="A62" s="4" t="s">
        <v>175</v>
      </c>
      <c r="B62" s="3">
        <v>94</v>
      </c>
      <c r="C62" s="3">
        <v>26969</v>
      </c>
      <c r="D62" s="3">
        <v>286.89999999999998</v>
      </c>
      <c r="E62" s="2">
        <f>C62/$C$238</f>
        <v>5.4974595474813533E-3</v>
      </c>
    </row>
    <row r="63" spans="1:5" x14ac:dyDescent="0.2">
      <c r="A63" s="4" t="s">
        <v>174</v>
      </c>
      <c r="B63" s="3">
        <v>155</v>
      </c>
      <c r="C63" s="3">
        <v>26742</v>
      </c>
      <c r="D63" s="3">
        <v>172.53</v>
      </c>
      <c r="E63" s="2">
        <f>C63/$C$238</f>
        <v>5.4511870376634788E-3</v>
      </c>
    </row>
    <row r="64" spans="1:5" x14ac:dyDescent="0.2">
      <c r="A64" s="4" t="s">
        <v>173</v>
      </c>
      <c r="B64" s="3">
        <v>72</v>
      </c>
      <c r="C64" s="3">
        <v>24552</v>
      </c>
      <c r="D64" s="3">
        <v>341</v>
      </c>
      <c r="E64" s="2">
        <f>C64/$C$238</f>
        <v>5.0047694319315583E-3</v>
      </c>
    </row>
    <row r="65" spans="1:5" x14ac:dyDescent="0.2">
      <c r="A65" s="4" t="s">
        <v>172</v>
      </c>
      <c r="B65" s="3">
        <v>144</v>
      </c>
      <c r="C65" s="3">
        <v>22871</v>
      </c>
      <c r="D65" s="3">
        <v>158.83000000000001</v>
      </c>
      <c r="E65" s="2">
        <f>C65/$C$238</f>
        <v>4.6621082468925818E-3</v>
      </c>
    </row>
    <row r="66" spans="1:5" x14ac:dyDescent="0.2">
      <c r="A66" s="4" t="s">
        <v>171</v>
      </c>
      <c r="B66" s="3">
        <v>91</v>
      </c>
      <c r="C66" s="3">
        <v>22261</v>
      </c>
      <c r="D66" s="3">
        <v>244.63</v>
      </c>
      <c r="E66" s="2">
        <f>C66/$C$238</f>
        <v>4.5377636169855176E-3</v>
      </c>
    </row>
    <row r="67" spans="1:5" x14ac:dyDescent="0.2">
      <c r="A67" s="4" t="s">
        <v>170</v>
      </c>
      <c r="B67" s="3">
        <v>96</v>
      </c>
      <c r="C67" s="3">
        <v>21158</v>
      </c>
      <c r="D67" s="3">
        <v>220.4</v>
      </c>
      <c r="E67" s="2">
        <f>C67/$C$238</f>
        <v>4.3129240648748738E-3</v>
      </c>
    </row>
    <row r="68" spans="1:5" x14ac:dyDescent="0.2">
      <c r="A68" s="4" t="s">
        <v>169</v>
      </c>
      <c r="B68" s="3">
        <v>64</v>
      </c>
      <c r="C68" s="3">
        <v>18672</v>
      </c>
      <c r="D68" s="3">
        <v>291.75</v>
      </c>
      <c r="E68" s="2">
        <f>C68/$C$238</f>
        <v>3.8061687370896896E-3</v>
      </c>
    </row>
    <row r="69" spans="1:5" x14ac:dyDescent="0.2">
      <c r="A69" s="4" t="s">
        <v>168</v>
      </c>
      <c r="B69" s="3">
        <v>32</v>
      </c>
      <c r="C69" s="3">
        <v>17696</v>
      </c>
      <c r="D69" s="3">
        <v>553</v>
      </c>
      <c r="E69" s="2">
        <f>C69/$C$238</f>
        <v>3.6072173292383859E-3</v>
      </c>
    </row>
    <row r="70" spans="1:5" x14ac:dyDescent="0.2">
      <c r="A70" s="4" t="s">
        <v>167</v>
      </c>
      <c r="B70" s="3">
        <v>55</v>
      </c>
      <c r="C70" s="3">
        <v>17293.5</v>
      </c>
      <c r="D70" s="3">
        <v>314.43</v>
      </c>
      <c r="E70" s="2">
        <f>C70/$C$238</f>
        <v>3.5251702578652819E-3</v>
      </c>
    </row>
    <row r="71" spans="1:5" x14ac:dyDescent="0.2">
      <c r="A71" s="4" t="s">
        <v>166</v>
      </c>
      <c r="B71" s="3">
        <v>54</v>
      </c>
      <c r="C71" s="3">
        <v>17124</v>
      </c>
      <c r="D71" s="3">
        <v>317.11</v>
      </c>
      <c r="E71" s="2">
        <f>C71/$C$238</f>
        <v>3.4906187582435647E-3</v>
      </c>
    </row>
    <row r="72" spans="1:5" x14ac:dyDescent="0.2">
      <c r="A72" s="4" t="s">
        <v>165</v>
      </c>
      <c r="B72" s="3">
        <v>49</v>
      </c>
      <c r="C72" s="3">
        <v>16943</v>
      </c>
      <c r="D72" s="3">
        <v>345.78</v>
      </c>
      <c r="E72" s="2">
        <f>C72/$C$238</f>
        <v>3.4537230565826163E-3</v>
      </c>
    </row>
    <row r="73" spans="1:5" x14ac:dyDescent="0.2">
      <c r="A73" s="4" t="s">
        <v>164</v>
      </c>
      <c r="B73" s="3">
        <v>26</v>
      </c>
      <c r="C73" s="3">
        <v>14348</v>
      </c>
      <c r="D73" s="3">
        <v>551.85</v>
      </c>
      <c r="E73" s="2">
        <f>C73/$C$238</f>
        <v>2.924748770338628E-3</v>
      </c>
    </row>
    <row r="74" spans="1:5" x14ac:dyDescent="0.2">
      <c r="A74" s="4" t="s">
        <v>163</v>
      </c>
      <c r="B74" s="3">
        <v>48</v>
      </c>
      <c r="C74" s="3">
        <v>13720.5</v>
      </c>
      <c r="D74" s="3">
        <v>285.83999999999997</v>
      </c>
      <c r="E74" s="2">
        <f>C74/$C$238</f>
        <v>2.79683687645882E-3</v>
      </c>
    </row>
    <row r="75" spans="1:5" x14ac:dyDescent="0.2">
      <c r="A75" s="4" t="s">
        <v>162</v>
      </c>
      <c r="B75" s="3">
        <v>57</v>
      </c>
      <c r="C75" s="3">
        <v>13214</v>
      </c>
      <c r="D75" s="3">
        <v>231.82</v>
      </c>
      <c r="E75" s="2">
        <f>C75/$C$238</f>
        <v>2.6935900649048394E-3</v>
      </c>
    </row>
    <row r="76" spans="1:5" x14ac:dyDescent="0.2">
      <c r="A76" s="4" t="s">
        <v>161</v>
      </c>
      <c r="B76" s="3">
        <v>73</v>
      </c>
      <c r="C76" s="3">
        <v>12992.5</v>
      </c>
      <c r="D76" s="3">
        <v>177.98</v>
      </c>
      <c r="E76" s="2">
        <f>C76/$C$238</f>
        <v>2.6484386951926837E-3</v>
      </c>
    </row>
    <row r="77" spans="1:5" x14ac:dyDescent="0.2">
      <c r="A77" s="4" t="s">
        <v>160</v>
      </c>
      <c r="B77" s="3">
        <v>31</v>
      </c>
      <c r="C77" s="3">
        <v>12866.5</v>
      </c>
      <c r="D77" s="3">
        <v>415.05</v>
      </c>
      <c r="E77" s="2">
        <f>C77/$C$238</f>
        <v>2.6227543945889294E-3</v>
      </c>
    </row>
    <row r="78" spans="1:5" x14ac:dyDescent="0.2">
      <c r="A78" s="4" t="s">
        <v>159</v>
      </c>
      <c r="B78" s="3">
        <v>92</v>
      </c>
      <c r="C78" s="3">
        <v>12333.5</v>
      </c>
      <c r="D78" s="3">
        <v>134.06</v>
      </c>
      <c r="E78" s="2">
        <f>C78/$C$238</f>
        <v>2.514105726161937E-3</v>
      </c>
    </row>
    <row r="79" spans="1:5" x14ac:dyDescent="0.2">
      <c r="A79" s="4" t="s">
        <v>158</v>
      </c>
      <c r="B79" s="3">
        <v>51</v>
      </c>
      <c r="C79" s="3">
        <v>12282.5</v>
      </c>
      <c r="D79" s="3">
        <v>240.83</v>
      </c>
      <c r="E79" s="2">
        <f>C79/$C$238</f>
        <v>2.5037096997270838E-3</v>
      </c>
    </row>
    <row r="80" spans="1:5" x14ac:dyDescent="0.2">
      <c r="A80" s="4" t="s">
        <v>157</v>
      </c>
      <c r="B80" s="3">
        <v>73</v>
      </c>
      <c r="C80" s="3">
        <v>11946.5</v>
      </c>
      <c r="D80" s="3">
        <v>163.65</v>
      </c>
      <c r="E80" s="2">
        <f>C80/$C$238</f>
        <v>2.4352182314504056E-3</v>
      </c>
    </row>
    <row r="81" spans="1:5" x14ac:dyDescent="0.2">
      <c r="A81" s="4" t="s">
        <v>156</v>
      </c>
      <c r="B81" s="3">
        <v>49</v>
      </c>
      <c r="C81" s="3">
        <v>11626</v>
      </c>
      <c r="D81" s="3">
        <v>237.27</v>
      </c>
      <c r="E81" s="2">
        <f>C81/$C$238</f>
        <v>2.3698863398353004E-3</v>
      </c>
    </row>
    <row r="82" spans="1:5" x14ac:dyDescent="0.2">
      <c r="A82" s="4" t="s">
        <v>155</v>
      </c>
      <c r="B82" s="3">
        <v>32</v>
      </c>
      <c r="C82" s="3">
        <v>11450.5</v>
      </c>
      <c r="D82" s="3">
        <v>357.83</v>
      </c>
      <c r="E82" s="2">
        <f>C82/$C$238</f>
        <v>2.3341117782800713E-3</v>
      </c>
    </row>
    <row r="83" spans="1:5" x14ac:dyDescent="0.2">
      <c r="A83" s="4" t="s">
        <v>154</v>
      </c>
      <c r="B83" s="3">
        <v>73</v>
      </c>
      <c r="C83" s="3">
        <v>11266.5</v>
      </c>
      <c r="D83" s="3">
        <v>154.34</v>
      </c>
      <c r="E83" s="2">
        <f>C83/$C$238</f>
        <v>2.2966045456523664E-3</v>
      </c>
    </row>
    <row r="84" spans="1:5" x14ac:dyDescent="0.2">
      <c r="A84" s="4" t="s">
        <v>153</v>
      </c>
      <c r="B84" s="3">
        <v>38</v>
      </c>
      <c r="C84" s="3">
        <v>11253</v>
      </c>
      <c r="D84" s="3">
        <v>296.13</v>
      </c>
      <c r="E84" s="2">
        <f>C84/$C$238</f>
        <v>2.293852656301964E-3</v>
      </c>
    </row>
    <row r="85" spans="1:5" x14ac:dyDescent="0.2">
      <c r="A85" s="4" t="s">
        <v>152</v>
      </c>
      <c r="B85" s="3">
        <v>24</v>
      </c>
      <c r="C85" s="3">
        <v>10931.5</v>
      </c>
      <c r="D85" s="3">
        <v>455.48</v>
      </c>
      <c r="E85" s="2">
        <f>C85/$C$238</f>
        <v>2.2283169210312735E-3</v>
      </c>
    </row>
    <row r="86" spans="1:5" x14ac:dyDescent="0.2">
      <c r="A86" s="4" t="s">
        <v>151</v>
      </c>
      <c r="B86" s="3">
        <v>18</v>
      </c>
      <c r="C86" s="3">
        <v>10640</v>
      </c>
      <c r="D86" s="3">
        <v>591.11</v>
      </c>
      <c r="E86" s="2">
        <f>C86/$C$238</f>
        <v>2.1688964954281434E-3</v>
      </c>
    </row>
    <row r="87" spans="1:5" x14ac:dyDescent="0.2">
      <c r="A87" s="4" t="s">
        <v>150</v>
      </c>
      <c r="B87" s="3">
        <v>34</v>
      </c>
      <c r="C87" s="3">
        <v>10610</v>
      </c>
      <c r="D87" s="3">
        <v>312.06</v>
      </c>
      <c r="E87" s="2">
        <f>C87/$C$238</f>
        <v>2.162781185760583E-3</v>
      </c>
    </row>
    <row r="88" spans="1:5" x14ac:dyDescent="0.2">
      <c r="A88" s="4" t="s">
        <v>149</v>
      </c>
      <c r="B88" s="3">
        <v>19</v>
      </c>
      <c r="C88" s="3">
        <v>10270.5</v>
      </c>
      <c r="D88" s="3">
        <v>540.54999999999995</v>
      </c>
      <c r="E88" s="2">
        <f>C88/$C$238</f>
        <v>2.0935762646893561E-3</v>
      </c>
    </row>
    <row r="89" spans="1:5" x14ac:dyDescent="0.2">
      <c r="A89" s="4" t="s">
        <v>148</v>
      </c>
      <c r="B89" s="3">
        <v>45</v>
      </c>
      <c r="C89" s="3">
        <v>10020</v>
      </c>
      <c r="D89" s="3">
        <v>222.67</v>
      </c>
      <c r="E89" s="2">
        <f>C89/$C$238</f>
        <v>2.0425134289652255E-3</v>
      </c>
    </row>
    <row r="90" spans="1:5" x14ac:dyDescent="0.2">
      <c r="A90" s="4" t="s">
        <v>147</v>
      </c>
      <c r="B90" s="3">
        <v>54</v>
      </c>
      <c r="C90" s="3">
        <v>9793</v>
      </c>
      <c r="D90" s="3">
        <v>181.35</v>
      </c>
      <c r="E90" s="2">
        <f>C90/$C$238</f>
        <v>1.9962409191473505E-3</v>
      </c>
    </row>
    <row r="91" spans="1:5" x14ac:dyDescent="0.2">
      <c r="A91" s="4" t="s">
        <v>146</v>
      </c>
      <c r="B91" s="3">
        <v>36</v>
      </c>
      <c r="C91" s="3">
        <v>9150</v>
      </c>
      <c r="D91" s="3">
        <v>254.17</v>
      </c>
      <c r="E91" s="2">
        <f>C91/$C$238</f>
        <v>1.8651694486059693E-3</v>
      </c>
    </row>
    <row r="92" spans="1:5" x14ac:dyDescent="0.2">
      <c r="A92" s="4" t="s">
        <v>145</v>
      </c>
      <c r="B92" s="3">
        <v>34</v>
      </c>
      <c r="C92" s="3">
        <v>8765</v>
      </c>
      <c r="D92" s="3">
        <v>257.79000000000002</v>
      </c>
      <c r="E92" s="2">
        <f>C92/$C$238</f>
        <v>1.7866896412056087E-3</v>
      </c>
    </row>
    <row r="93" spans="1:5" x14ac:dyDescent="0.2">
      <c r="A93" s="4" t="s">
        <v>144</v>
      </c>
      <c r="B93" s="3">
        <v>41</v>
      </c>
      <c r="C93" s="3">
        <v>8652.5</v>
      </c>
      <c r="D93" s="3">
        <v>211.04</v>
      </c>
      <c r="E93" s="2">
        <f>C93/$C$238</f>
        <v>1.7637572299522568E-3</v>
      </c>
    </row>
    <row r="94" spans="1:5" x14ac:dyDescent="0.2">
      <c r="A94" s="4" t="s">
        <v>143</v>
      </c>
      <c r="B94" s="3">
        <v>50</v>
      </c>
      <c r="C94" s="3">
        <v>8598</v>
      </c>
      <c r="D94" s="3">
        <v>171.96</v>
      </c>
      <c r="E94" s="2">
        <f>C94/$C$238</f>
        <v>1.7526477507228552E-3</v>
      </c>
    </row>
    <row r="95" spans="1:5" x14ac:dyDescent="0.2">
      <c r="A95" s="4" t="s">
        <v>142</v>
      </c>
      <c r="B95" s="3">
        <v>27</v>
      </c>
      <c r="C95" s="3">
        <v>7640.5</v>
      </c>
      <c r="D95" s="3">
        <v>282.98</v>
      </c>
      <c r="E95" s="2">
        <f>C95/$C$238</f>
        <v>1.5574674504998808E-3</v>
      </c>
    </row>
    <row r="96" spans="1:5" x14ac:dyDescent="0.2">
      <c r="A96" s="4" t="s">
        <v>141</v>
      </c>
      <c r="B96" s="3">
        <v>31</v>
      </c>
      <c r="C96" s="3">
        <v>7637</v>
      </c>
      <c r="D96" s="3">
        <v>246.35</v>
      </c>
      <c r="E96" s="2">
        <f>C96/$C$238</f>
        <v>1.5567539977053319E-3</v>
      </c>
    </row>
    <row r="97" spans="1:5" x14ac:dyDescent="0.2">
      <c r="A97" s="4" t="s">
        <v>140</v>
      </c>
      <c r="B97" s="3">
        <v>95</v>
      </c>
      <c r="C97" s="3">
        <v>7629.5</v>
      </c>
      <c r="D97" s="3">
        <v>80.31</v>
      </c>
      <c r="E97" s="2">
        <f>C97/$C$238</f>
        <v>1.5552251702884419E-3</v>
      </c>
    </row>
    <row r="98" spans="1:5" x14ac:dyDescent="0.2">
      <c r="A98" s="4" t="s">
        <v>139</v>
      </c>
      <c r="B98" s="3">
        <v>16</v>
      </c>
      <c r="C98" s="3">
        <v>7376</v>
      </c>
      <c r="D98" s="3">
        <v>461</v>
      </c>
      <c r="E98" s="2">
        <f>C98/$C$238</f>
        <v>1.5035508035975552E-3</v>
      </c>
    </row>
    <row r="99" spans="1:5" x14ac:dyDescent="0.2">
      <c r="A99" s="4" t="s">
        <v>138</v>
      </c>
      <c r="B99" s="3">
        <v>29</v>
      </c>
      <c r="C99" s="3">
        <v>7288.5</v>
      </c>
      <c r="D99" s="3">
        <v>251.33</v>
      </c>
      <c r="E99" s="2">
        <f>C99/$C$238</f>
        <v>1.4857144837338368E-3</v>
      </c>
    </row>
    <row r="100" spans="1:5" x14ac:dyDescent="0.2">
      <c r="A100" s="4" t="s">
        <v>137</v>
      </c>
      <c r="B100" s="3">
        <v>28</v>
      </c>
      <c r="C100" s="3">
        <v>7260.5</v>
      </c>
      <c r="D100" s="3">
        <v>259.3</v>
      </c>
      <c r="E100" s="2">
        <f>C100/$C$238</f>
        <v>1.4800068613774471E-3</v>
      </c>
    </row>
    <row r="101" spans="1:5" x14ac:dyDescent="0.2">
      <c r="A101" s="4" t="s">
        <v>136</v>
      </c>
      <c r="B101" s="3">
        <v>26</v>
      </c>
      <c r="C101" s="3">
        <v>7257.5</v>
      </c>
      <c r="D101" s="3">
        <v>279.13</v>
      </c>
      <c r="E101" s="2">
        <f>C101/$C$238</f>
        <v>1.4793953304106909E-3</v>
      </c>
    </row>
    <row r="102" spans="1:5" x14ac:dyDescent="0.2">
      <c r="A102" s="4" t="s">
        <v>135</v>
      </c>
      <c r="B102" s="3">
        <v>26</v>
      </c>
      <c r="C102" s="3">
        <v>6992</v>
      </c>
      <c r="D102" s="3">
        <v>268.92</v>
      </c>
      <c r="E102" s="2">
        <f>C102/$C$238</f>
        <v>1.42527483985278E-3</v>
      </c>
    </row>
    <row r="103" spans="1:5" x14ac:dyDescent="0.2">
      <c r="A103" s="4" t="s">
        <v>134</v>
      </c>
      <c r="B103" s="3">
        <v>28</v>
      </c>
      <c r="C103" s="3">
        <v>6974</v>
      </c>
      <c r="D103" s="3">
        <v>249.07</v>
      </c>
      <c r="E103" s="2">
        <f>C103/$C$238</f>
        <v>1.4216056540522436E-3</v>
      </c>
    </row>
    <row r="104" spans="1:5" x14ac:dyDescent="0.2">
      <c r="A104" s="4" t="s">
        <v>133</v>
      </c>
      <c r="B104" s="3">
        <v>20</v>
      </c>
      <c r="C104" s="3">
        <v>6706</v>
      </c>
      <c r="D104" s="3">
        <v>335.3</v>
      </c>
      <c r="E104" s="2">
        <f>C104/$C$238</f>
        <v>1.3669755543553694E-3</v>
      </c>
    </row>
    <row r="105" spans="1:5" x14ac:dyDescent="0.2">
      <c r="A105" s="4" t="s">
        <v>132</v>
      </c>
      <c r="B105" s="3">
        <v>27</v>
      </c>
      <c r="C105" s="3">
        <v>6706</v>
      </c>
      <c r="D105" s="3">
        <v>248.37</v>
      </c>
      <c r="E105" s="2">
        <f>C105/$C$238</f>
        <v>1.3669755543553694E-3</v>
      </c>
    </row>
    <row r="106" spans="1:5" x14ac:dyDescent="0.2">
      <c r="A106" s="4" t="s">
        <v>131</v>
      </c>
      <c r="B106" s="3">
        <v>21</v>
      </c>
      <c r="C106" s="3">
        <v>6693.5</v>
      </c>
      <c r="D106" s="3">
        <v>318.74</v>
      </c>
      <c r="E106" s="2">
        <f>C106/$C$238</f>
        <v>1.3644275086605526E-3</v>
      </c>
    </row>
    <row r="107" spans="1:5" x14ac:dyDescent="0.2">
      <c r="A107" s="4" t="s">
        <v>130</v>
      </c>
      <c r="B107" s="3">
        <v>11</v>
      </c>
      <c r="C107" s="3">
        <v>6653</v>
      </c>
      <c r="D107" s="3">
        <v>604.82000000000005</v>
      </c>
      <c r="E107" s="2">
        <f>C107/$C$238</f>
        <v>1.3561718406093458E-3</v>
      </c>
    </row>
    <row r="108" spans="1:5" x14ac:dyDescent="0.2">
      <c r="A108" s="4" t="s">
        <v>129</v>
      </c>
      <c r="B108" s="3">
        <v>22</v>
      </c>
      <c r="C108" s="3">
        <v>6628.5</v>
      </c>
      <c r="D108" s="3">
        <v>301.3</v>
      </c>
      <c r="E108" s="2">
        <f>C108/$C$238</f>
        <v>1.3511776710475047E-3</v>
      </c>
    </row>
    <row r="109" spans="1:5" x14ac:dyDescent="0.2">
      <c r="A109" s="4" t="s">
        <v>128</v>
      </c>
      <c r="B109" s="3">
        <v>21</v>
      </c>
      <c r="C109" s="3">
        <v>6439</v>
      </c>
      <c r="D109" s="3">
        <v>306.62</v>
      </c>
      <c r="E109" s="2">
        <f>C109/$C$238</f>
        <v>1.3125492983140806E-3</v>
      </c>
    </row>
    <row r="110" spans="1:5" x14ac:dyDescent="0.2">
      <c r="A110" s="4" t="s">
        <v>127</v>
      </c>
      <c r="B110" s="3">
        <v>29</v>
      </c>
      <c r="C110" s="3">
        <v>6427</v>
      </c>
      <c r="D110" s="3">
        <v>221.62</v>
      </c>
      <c r="E110" s="2">
        <f>C110/$C$238</f>
        <v>1.3101031744470562E-3</v>
      </c>
    </row>
    <row r="111" spans="1:5" x14ac:dyDescent="0.2">
      <c r="A111" s="4" t="s">
        <v>126</v>
      </c>
      <c r="B111" s="3">
        <v>26</v>
      </c>
      <c r="C111" s="3">
        <v>6407</v>
      </c>
      <c r="D111" s="3">
        <v>246.42</v>
      </c>
      <c r="E111" s="2">
        <f>C111/$C$238</f>
        <v>1.3060263013353493E-3</v>
      </c>
    </row>
    <row r="112" spans="1:5" x14ac:dyDescent="0.2">
      <c r="A112" s="4" t="s">
        <v>125</v>
      </c>
      <c r="B112" s="3">
        <v>26</v>
      </c>
      <c r="C112" s="3">
        <v>6339</v>
      </c>
      <c r="D112" s="3">
        <v>243.81</v>
      </c>
      <c r="E112" s="2">
        <f>C112/$C$238</f>
        <v>1.2921649327555453E-3</v>
      </c>
    </row>
    <row r="113" spans="1:5" x14ac:dyDescent="0.2">
      <c r="A113" s="4" t="s">
        <v>124</v>
      </c>
      <c r="B113" s="3">
        <v>23</v>
      </c>
      <c r="C113" s="3">
        <v>6291.5</v>
      </c>
      <c r="D113" s="3">
        <v>273.54000000000002</v>
      </c>
      <c r="E113" s="2">
        <f>C113/$C$238</f>
        <v>1.2824823591152412E-3</v>
      </c>
    </row>
    <row r="114" spans="1:5" x14ac:dyDescent="0.2">
      <c r="A114" s="4" t="s">
        <v>123</v>
      </c>
      <c r="B114" s="3">
        <v>14</v>
      </c>
      <c r="C114" s="3">
        <v>6258</v>
      </c>
      <c r="D114" s="3">
        <v>447</v>
      </c>
      <c r="E114" s="2">
        <f>C114/$C$238</f>
        <v>1.2756535966531317E-3</v>
      </c>
    </row>
    <row r="115" spans="1:5" x14ac:dyDescent="0.2">
      <c r="A115" s="4" t="s">
        <v>122</v>
      </c>
      <c r="B115" s="3">
        <v>17</v>
      </c>
      <c r="C115" s="3">
        <v>6115.5</v>
      </c>
      <c r="D115" s="3">
        <v>359.74</v>
      </c>
      <c r="E115" s="2">
        <f>C115/$C$238</f>
        <v>1.2466058757322192E-3</v>
      </c>
    </row>
    <row r="116" spans="1:5" x14ac:dyDescent="0.2">
      <c r="A116" s="4" t="s">
        <v>121</v>
      </c>
      <c r="B116" s="3">
        <v>11</v>
      </c>
      <c r="C116" s="3">
        <v>6031</v>
      </c>
      <c r="D116" s="3">
        <v>548.27</v>
      </c>
      <c r="E116" s="2">
        <f>C116/$C$238</f>
        <v>1.229381086835257E-3</v>
      </c>
    </row>
    <row r="117" spans="1:5" x14ac:dyDescent="0.2">
      <c r="A117" s="4" t="s">
        <v>120</v>
      </c>
      <c r="B117" s="3">
        <v>23</v>
      </c>
      <c r="C117" s="3">
        <v>5929</v>
      </c>
      <c r="D117" s="3">
        <v>257.77999999999997</v>
      </c>
      <c r="E117" s="2">
        <f>C117/$C$238</f>
        <v>1.208589033965551E-3</v>
      </c>
    </row>
    <row r="118" spans="1:5" x14ac:dyDescent="0.2">
      <c r="A118" s="4" t="s">
        <v>119</v>
      </c>
      <c r="B118" s="3">
        <v>22</v>
      </c>
      <c r="C118" s="3">
        <v>5920.5</v>
      </c>
      <c r="D118" s="3">
        <v>269.11</v>
      </c>
      <c r="E118" s="2">
        <f>C118/$C$238</f>
        <v>1.2068563628930755E-3</v>
      </c>
    </row>
    <row r="119" spans="1:5" x14ac:dyDescent="0.2">
      <c r="A119" s="4" t="s">
        <v>118</v>
      </c>
      <c r="B119" s="3">
        <v>18</v>
      </c>
      <c r="C119" s="3">
        <v>5806</v>
      </c>
      <c r="D119" s="3">
        <v>322.56</v>
      </c>
      <c r="E119" s="2">
        <f>C119/$C$238</f>
        <v>1.1835162643285527E-3</v>
      </c>
    </row>
    <row r="120" spans="1:5" x14ac:dyDescent="0.2">
      <c r="A120" s="4" t="s">
        <v>117</v>
      </c>
      <c r="B120" s="3">
        <v>19</v>
      </c>
      <c r="C120" s="3">
        <v>5513.5</v>
      </c>
      <c r="D120" s="3">
        <v>290.18</v>
      </c>
      <c r="E120" s="2">
        <f>C120/$C$238</f>
        <v>1.1238919950698374E-3</v>
      </c>
    </row>
    <row r="121" spans="1:5" x14ac:dyDescent="0.2">
      <c r="A121" s="4" t="s">
        <v>116</v>
      </c>
      <c r="B121" s="3">
        <v>30</v>
      </c>
      <c r="C121" s="3">
        <v>5510.5</v>
      </c>
      <c r="D121" s="3">
        <v>183.68</v>
      </c>
      <c r="E121" s="2">
        <f>C121/$C$238</f>
        <v>1.1232804641030812E-3</v>
      </c>
    </row>
    <row r="122" spans="1:5" x14ac:dyDescent="0.2">
      <c r="A122" s="4" t="s">
        <v>115</v>
      </c>
      <c r="B122" s="3">
        <v>20</v>
      </c>
      <c r="C122" s="3">
        <v>5467</v>
      </c>
      <c r="D122" s="3">
        <v>273.35000000000002</v>
      </c>
      <c r="E122" s="2">
        <f>C122/$C$238</f>
        <v>1.1144132650851184E-3</v>
      </c>
    </row>
    <row r="123" spans="1:5" x14ac:dyDescent="0.2">
      <c r="A123" s="4" t="s">
        <v>114</v>
      </c>
      <c r="B123" s="3">
        <v>19</v>
      </c>
      <c r="C123" s="3">
        <v>5444</v>
      </c>
      <c r="D123" s="3">
        <v>286.52999999999997</v>
      </c>
      <c r="E123" s="2">
        <f>C123/$C$238</f>
        <v>1.1097248610066554E-3</v>
      </c>
    </row>
    <row r="124" spans="1:5" x14ac:dyDescent="0.2">
      <c r="A124" s="4" t="s">
        <v>113</v>
      </c>
      <c r="B124" s="3">
        <v>17</v>
      </c>
      <c r="C124" s="3">
        <v>5433</v>
      </c>
      <c r="D124" s="3">
        <v>319.58999999999997</v>
      </c>
      <c r="E124" s="2">
        <f>C124/$C$238</f>
        <v>1.1074825807952165E-3</v>
      </c>
    </row>
    <row r="125" spans="1:5" x14ac:dyDescent="0.2">
      <c r="A125" s="4" t="s">
        <v>112</v>
      </c>
      <c r="B125" s="3">
        <v>24</v>
      </c>
      <c r="C125" s="3">
        <v>5417.5</v>
      </c>
      <c r="D125" s="3">
        <v>225.73</v>
      </c>
      <c r="E125" s="2">
        <f>C125/$C$238</f>
        <v>1.1043230041336437E-3</v>
      </c>
    </row>
    <row r="126" spans="1:5" x14ac:dyDescent="0.2">
      <c r="A126" s="4" t="s">
        <v>111</v>
      </c>
      <c r="B126" s="3">
        <v>22</v>
      </c>
      <c r="C126" s="3">
        <v>5353.5</v>
      </c>
      <c r="D126" s="3">
        <v>243.34</v>
      </c>
      <c r="E126" s="2">
        <f>C126/$C$238</f>
        <v>1.091277010176181E-3</v>
      </c>
    </row>
    <row r="127" spans="1:5" x14ac:dyDescent="0.2">
      <c r="A127" s="4" t="s">
        <v>110</v>
      </c>
      <c r="B127" s="3">
        <v>9</v>
      </c>
      <c r="C127" s="3">
        <v>5347</v>
      </c>
      <c r="D127" s="3">
        <v>594.11</v>
      </c>
      <c r="E127" s="2">
        <f>C127/$C$238</f>
        <v>1.0899520264148763E-3</v>
      </c>
    </row>
    <row r="128" spans="1:5" x14ac:dyDescent="0.2">
      <c r="A128" s="4" t="s">
        <v>109</v>
      </c>
      <c r="B128" s="3">
        <v>19</v>
      </c>
      <c r="C128" s="3">
        <v>5195</v>
      </c>
      <c r="D128" s="3">
        <v>273.42</v>
      </c>
      <c r="E128" s="2">
        <f>C128/$C$238</f>
        <v>1.0589677907659027E-3</v>
      </c>
    </row>
    <row r="129" spans="1:5" x14ac:dyDescent="0.2">
      <c r="A129" s="4" t="s">
        <v>108</v>
      </c>
      <c r="B129" s="3">
        <v>17</v>
      </c>
      <c r="C129" s="3">
        <v>4964.5</v>
      </c>
      <c r="D129" s="3">
        <v>292.02999999999997</v>
      </c>
      <c r="E129" s="2">
        <f>C129/$C$238</f>
        <v>1.0119818281534793E-3</v>
      </c>
    </row>
    <row r="130" spans="1:5" x14ac:dyDescent="0.2">
      <c r="A130" s="4" t="s">
        <v>107</v>
      </c>
      <c r="B130" s="3">
        <v>22</v>
      </c>
      <c r="C130" s="3">
        <v>4858</v>
      </c>
      <c r="D130" s="3">
        <v>220.82</v>
      </c>
      <c r="E130" s="2">
        <f>C130/$C$238</f>
        <v>9.9027247883363913E-4</v>
      </c>
    </row>
    <row r="131" spans="1:5" x14ac:dyDescent="0.2">
      <c r="A131" s="4" t="s">
        <v>106</v>
      </c>
      <c r="B131" s="3">
        <v>15</v>
      </c>
      <c r="C131" s="3">
        <v>4808.5</v>
      </c>
      <c r="D131" s="3">
        <v>320.57</v>
      </c>
      <c r="E131" s="2">
        <f>C131/$C$238</f>
        <v>9.8018221788216437E-4</v>
      </c>
    </row>
    <row r="132" spans="1:5" x14ac:dyDescent="0.2">
      <c r="A132" s="4" t="s">
        <v>105</v>
      </c>
      <c r="B132" s="3">
        <v>9</v>
      </c>
      <c r="C132" s="3">
        <v>4727</v>
      </c>
      <c r="D132" s="3">
        <v>525.22</v>
      </c>
      <c r="E132" s="2">
        <f>C132/$C$238</f>
        <v>9.6356895995195813E-4</v>
      </c>
    </row>
    <row r="133" spans="1:5" x14ac:dyDescent="0.2">
      <c r="A133" s="4" t="s">
        <v>104</v>
      </c>
      <c r="B133" s="3">
        <v>11</v>
      </c>
      <c r="C133" s="3">
        <v>4703</v>
      </c>
      <c r="D133" s="3">
        <v>427.55</v>
      </c>
      <c r="E133" s="2">
        <f>C133/$C$238</f>
        <v>9.5867671221790964E-4</v>
      </c>
    </row>
    <row r="134" spans="1:5" x14ac:dyDescent="0.2">
      <c r="A134" s="4" t="s">
        <v>103</v>
      </c>
      <c r="B134" s="3">
        <v>18</v>
      </c>
      <c r="C134" s="3">
        <v>4692.5</v>
      </c>
      <c r="D134" s="3">
        <v>260.69</v>
      </c>
      <c r="E134" s="2">
        <f>C134/$C$238</f>
        <v>9.5653635383426345E-4</v>
      </c>
    </row>
    <row r="135" spans="1:5" x14ac:dyDescent="0.2">
      <c r="A135" s="4" t="s">
        <v>102</v>
      </c>
      <c r="B135" s="3">
        <v>152</v>
      </c>
      <c r="C135" s="3">
        <v>4468.5</v>
      </c>
      <c r="D135" s="3">
        <v>29.4</v>
      </c>
      <c r="E135" s="2">
        <f>C135/$C$238</f>
        <v>9.108753749831447E-4</v>
      </c>
    </row>
    <row r="136" spans="1:5" x14ac:dyDescent="0.2">
      <c r="A136" s="4" t="s">
        <v>101</v>
      </c>
      <c r="B136" s="3">
        <v>15</v>
      </c>
      <c r="C136" s="3">
        <v>4463</v>
      </c>
      <c r="D136" s="3">
        <v>297.52999999999997</v>
      </c>
      <c r="E136" s="2">
        <f>C136/$C$238</f>
        <v>9.0975423487742527E-4</v>
      </c>
    </row>
    <row r="137" spans="1:5" x14ac:dyDescent="0.2">
      <c r="A137" s="4" t="s">
        <v>100</v>
      </c>
      <c r="B137" s="3">
        <v>19</v>
      </c>
      <c r="C137" s="3">
        <v>3981.5</v>
      </c>
      <c r="D137" s="3">
        <v>209.55</v>
      </c>
      <c r="E137" s="2">
        <f>C137/$C$238</f>
        <v>8.116035147130783E-4</v>
      </c>
    </row>
    <row r="138" spans="1:5" x14ac:dyDescent="0.2">
      <c r="A138" s="4" t="s">
        <v>99</v>
      </c>
      <c r="B138" s="3">
        <v>14</v>
      </c>
      <c r="C138" s="3">
        <v>3976.5</v>
      </c>
      <c r="D138" s="3">
        <v>284.04000000000002</v>
      </c>
      <c r="E138" s="2">
        <f>C138/$C$238</f>
        <v>8.1058429643515153E-4</v>
      </c>
    </row>
    <row r="139" spans="1:5" x14ac:dyDescent="0.2">
      <c r="A139" s="4" t="s">
        <v>98</v>
      </c>
      <c r="B139" s="3">
        <v>12</v>
      </c>
      <c r="C139" s="3">
        <v>3954.5</v>
      </c>
      <c r="D139" s="3">
        <v>329.54</v>
      </c>
      <c r="E139" s="2">
        <f>C139/$C$238</f>
        <v>8.0609973601227381E-4</v>
      </c>
    </row>
    <row r="140" spans="1:5" x14ac:dyDescent="0.2">
      <c r="A140" s="4" t="s">
        <v>97</v>
      </c>
      <c r="B140" s="3">
        <v>11</v>
      </c>
      <c r="C140" s="3">
        <v>3897.5</v>
      </c>
      <c r="D140" s="3">
        <v>354.32</v>
      </c>
      <c r="E140" s="2">
        <f>C140/$C$238</f>
        <v>7.9448064764390874E-4</v>
      </c>
    </row>
    <row r="141" spans="1:5" x14ac:dyDescent="0.2">
      <c r="A141" s="4" t="s">
        <v>96</v>
      </c>
      <c r="B141" s="3">
        <v>15</v>
      </c>
      <c r="C141" s="3">
        <v>3879</v>
      </c>
      <c r="D141" s="3">
        <v>258.60000000000002</v>
      </c>
      <c r="E141" s="2">
        <f>C141/$C$238</f>
        <v>7.9070954001557979E-4</v>
      </c>
    </row>
    <row r="142" spans="1:5" x14ac:dyDescent="0.2">
      <c r="A142" s="4" t="s">
        <v>95</v>
      </c>
      <c r="B142" s="3">
        <v>11</v>
      </c>
      <c r="C142" s="3">
        <v>3866.5</v>
      </c>
      <c r="D142" s="3">
        <v>351.5</v>
      </c>
      <c r="E142" s="2">
        <f>C142/$C$238</f>
        <v>7.8816149432076282E-4</v>
      </c>
    </row>
    <row r="143" spans="1:5" x14ac:dyDescent="0.2">
      <c r="A143" s="4" t="s">
        <v>94</v>
      </c>
      <c r="B143" s="3">
        <v>18</v>
      </c>
      <c r="C143" s="3">
        <v>3863</v>
      </c>
      <c r="D143" s="3">
        <v>214.61</v>
      </c>
      <c r="E143" s="2">
        <f>C143/$C$238</f>
        <v>7.8744804152621416E-4</v>
      </c>
    </row>
    <row r="144" spans="1:5" x14ac:dyDescent="0.2">
      <c r="A144" s="4" t="s">
        <v>93</v>
      </c>
      <c r="B144" s="3">
        <v>24</v>
      </c>
      <c r="C144" s="3">
        <v>3755</v>
      </c>
      <c r="D144" s="3">
        <v>156.46</v>
      </c>
      <c r="E144" s="2">
        <f>C144/$C$238</f>
        <v>7.6543292672299611E-4</v>
      </c>
    </row>
    <row r="145" spans="1:5" x14ac:dyDescent="0.2">
      <c r="A145" s="4" t="s">
        <v>92</v>
      </c>
      <c r="B145" s="3">
        <v>14</v>
      </c>
      <c r="C145" s="3">
        <v>3736</v>
      </c>
      <c r="D145" s="3">
        <v>266.86</v>
      </c>
      <c r="E145" s="2">
        <f>C145/$C$238</f>
        <v>7.6155989726687449E-4</v>
      </c>
    </row>
    <row r="146" spans="1:5" x14ac:dyDescent="0.2">
      <c r="A146" s="4" t="s">
        <v>91</v>
      </c>
      <c r="B146" s="3">
        <v>12</v>
      </c>
      <c r="C146" s="3">
        <v>3732.5</v>
      </c>
      <c r="D146" s="3">
        <v>311.04000000000002</v>
      </c>
      <c r="E146" s="2">
        <f>C146/$C$238</f>
        <v>7.6084644447232572E-4</v>
      </c>
    </row>
    <row r="147" spans="1:5" x14ac:dyDescent="0.2">
      <c r="A147" s="4" t="s">
        <v>90</v>
      </c>
      <c r="B147" s="3">
        <v>14</v>
      </c>
      <c r="C147" s="3">
        <v>3678.5</v>
      </c>
      <c r="D147" s="3">
        <v>262.75</v>
      </c>
      <c r="E147" s="2">
        <f>C147/$C$238</f>
        <v>7.4983888707071675E-4</v>
      </c>
    </row>
    <row r="148" spans="1:5" x14ac:dyDescent="0.2">
      <c r="A148" s="4" t="s">
        <v>89</v>
      </c>
      <c r="B148" s="3">
        <v>12</v>
      </c>
      <c r="C148" s="3">
        <v>3446.5</v>
      </c>
      <c r="D148" s="3">
        <v>287.20999999999998</v>
      </c>
      <c r="E148" s="2">
        <f>C148/$C$238</f>
        <v>7.0254715897491514E-4</v>
      </c>
    </row>
    <row r="149" spans="1:5" x14ac:dyDescent="0.2">
      <c r="A149" s="4" t="s">
        <v>88</v>
      </c>
      <c r="B149" s="3">
        <v>12</v>
      </c>
      <c r="C149" s="3">
        <v>3216</v>
      </c>
      <c r="D149" s="3">
        <v>268</v>
      </c>
      <c r="E149" s="2">
        <f>C149/$C$238</f>
        <v>6.5556119636249151E-4</v>
      </c>
    </row>
    <row r="150" spans="1:5" x14ac:dyDescent="0.2">
      <c r="A150" s="4" t="s">
        <v>87</v>
      </c>
      <c r="B150" s="3">
        <v>10</v>
      </c>
      <c r="C150" s="3">
        <v>3205</v>
      </c>
      <c r="D150" s="3">
        <v>320.5</v>
      </c>
      <c r="E150" s="2">
        <f>C150/$C$238</f>
        <v>6.5331891615105265E-4</v>
      </c>
    </row>
    <row r="151" spans="1:5" x14ac:dyDescent="0.2">
      <c r="A151" s="4" t="s">
        <v>86</v>
      </c>
      <c r="B151" s="3">
        <v>12</v>
      </c>
      <c r="C151" s="3">
        <v>3198</v>
      </c>
      <c r="D151" s="3">
        <v>266.5</v>
      </c>
      <c r="E151" s="2">
        <f>C151/$C$238</f>
        <v>6.5189201056195512E-4</v>
      </c>
    </row>
    <row r="152" spans="1:5" x14ac:dyDescent="0.2">
      <c r="A152" s="4" t="s">
        <v>85</v>
      </c>
      <c r="B152" s="3">
        <v>11</v>
      </c>
      <c r="C152" s="3">
        <v>3119.5</v>
      </c>
      <c r="D152" s="3">
        <v>283.58999999999997</v>
      </c>
      <c r="E152" s="2">
        <f>C152/$C$238</f>
        <v>6.358902835985051E-4</v>
      </c>
    </row>
    <row r="153" spans="1:5" x14ac:dyDescent="0.2">
      <c r="A153" s="4" t="s">
        <v>84</v>
      </c>
      <c r="B153" s="3">
        <v>8</v>
      </c>
      <c r="C153" s="3">
        <v>3097.5</v>
      </c>
      <c r="D153" s="3">
        <v>387.19</v>
      </c>
      <c r="E153" s="2">
        <f>C153/$C$238</f>
        <v>6.3140572317562727E-4</v>
      </c>
    </row>
    <row r="154" spans="1:5" x14ac:dyDescent="0.2">
      <c r="A154" s="4" t="s">
        <v>83</v>
      </c>
      <c r="B154" s="3">
        <v>9</v>
      </c>
      <c r="C154" s="3">
        <v>3096</v>
      </c>
      <c r="D154" s="3">
        <v>344</v>
      </c>
      <c r="E154" s="2">
        <f>C154/$C$238</f>
        <v>6.3109995769224927E-4</v>
      </c>
    </row>
    <row r="155" spans="1:5" x14ac:dyDescent="0.2">
      <c r="A155" s="4" t="s">
        <v>82</v>
      </c>
      <c r="B155" s="3">
        <v>12</v>
      </c>
      <c r="C155" s="3">
        <v>3078</v>
      </c>
      <c r="D155" s="3">
        <v>256.5</v>
      </c>
      <c r="E155" s="2">
        <f>C155/$C$238</f>
        <v>6.2743077189171298E-4</v>
      </c>
    </row>
    <row r="156" spans="1:5" x14ac:dyDescent="0.2">
      <c r="A156" s="4" t="s">
        <v>81</v>
      </c>
      <c r="B156" s="3">
        <v>11</v>
      </c>
      <c r="C156" s="3">
        <v>3054</v>
      </c>
      <c r="D156" s="3">
        <v>277.64</v>
      </c>
      <c r="E156" s="2">
        <f>C156/$C$238</f>
        <v>6.2253852415766449E-4</v>
      </c>
    </row>
    <row r="157" spans="1:5" x14ac:dyDescent="0.2">
      <c r="A157" s="4" t="s">
        <v>80</v>
      </c>
      <c r="B157" s="3">
        <v>10</v>
      </c>
      <c r="C157" s="3">
        <v>2972</v>
      </c>
      <c r="D157" s="3">
        <v>297.2</v>
      </c>
      <c r="E157" s="2">
        <f>C157/$C$238</f>
        <v>6.058233443996657E-4</v>
      </c>
    </row>
    <row r="158" spans="1:5" x14ac:dyDescent="0.2">
      <c r="A158" s="4" t="s">
        <v>79</v>
      </c>
      <c r="B158" s="3">
        <v>14</v>
      </c>
      <c r="C158" s="3">
        <v>2866</v>
      </c>
      <c r="D158" s="3">
        <v>204.71</v>
      </c>
      <c r="E158" s="2">
        <f>C158/$C$238</f>
        <v>5.8421591690761832E-4</v>
      </c>
    </row>
    <row r="159" spans="1:5" x14ac:dyDescent="0.2">
      <c r="A159" s="4" t="s">
        <v>78</v>
      </c>
      <c r="B159" s="3">
        <v>14</v>
      </c>
      <c r="C159" s="3">
        <v>2849.5</v>
      </c>
      <c r="D159" s="3">
        <v>203.54</v>
      </c>
      <c r="E159" s="2">
        <f>C159/$C$238</f>
        <v>5.8085249659046002E-4</v>
      </c>
    </row>
    <row r="160" spans="1:5" x14ac:dyDescent="0.2">
      <c r="A160" s="4" t="s">
        <v>77</v>
      </c>
      <c r="B160" s="3">
        <v>7</v>
      </c>
      <c r="C160" s="3">
        <v>2815.5</v>
      </c>
      <c r="D160" s="3">
        <v>402.21</v>
      </c>
      <c r="E160" s="2">
        <f>C160/$C$238</f>
        <v>5.7392181230055811E-4</v>
      </c>
    </row>
    <row r="161" spans="1:5" x14ac:dyDescent="0.2">
      <c r="A161" s="4" t="s">
        <v>76</v>
      </c>
      <c r="B161" s="3">
        <v>9</v>
      </c>
      <c r="C161" s="3">
        <v>2747.5</v>
      </c>
      <c r="D161" s="3">
        <v>305.27999999999997</v>
      </c>
      <c r="E161" s="2">
        <f>C161/$C$238</f>
        <v>5.6006044372075418E-4</v>
      </c>
    </row>
    <row r="162" spans="1:5" x14ac:dyDescent="0.2">
      <c r="A162" s="4" t="s">
        <v>75</v>
      </c>
      <c r="B162" s="3">
        <v>7</v>
      </c>
      <c r="C162" s="3">
        <v>2727.5</v>
      </c>
      <c r="D162" s="3">
        <v>389.64</v>
      </c>
      <c r="E162" s="2">
        <f>C162/$C$238</f>
        <v>5.5598357060904712E-4</v>
      </c>
    </row>
    <row r="163" spans="1:5" x14ac:dyDescent="0.2">
      <c r="A163" s="4" t="s">
        <v>74</v>
      </c>
      <c r="B163" s="3">
        <v>10</v>
      </c>
      <c r="C163" s="3">
        <v>2609</v>
      </c>
      <c r="D163" s="3">
        <v>260.89999999999998</v>
      </c>
      <c r="E163" s="2">
        <f>C163/$C$238</f>
        <v>5.3182809742218298E-4</v>
      </c>
    </row>
    <row r="164" spans="1:5" x14ac:dyDescent="0.2">
      <c r="A164" s="4" t="s">
        <v>73</v>
      </c>
      <c r="B164" s="3">
        <v>6</v>
      </c>
      <c r="C164" s="3">
        <v>2607.5</v>
      </c>
      <c r="D164" s="3">
        <v>434.58</v>
      </c>
      <c r="E164" s="2">
        <f>C164/$C$238</f>
        <v>5.3152233193880488E-4</v>
      </c>
    </row>
    <row r="165" spans="1:5" x14ac:dyDescent="0.2">
      <c r="A165" s="4" t="s">
        <v>72</v>
      </c>
      <c r="B165" s="3">
        <v>18</v>
      </c>
      <c r="C165" s="3">
        <v>2536.5</v>
      </c>
      <c r="D165" s="3">
        <v>140.91999999999999</v>
      </c>
      <c r="E165" s="2">
        <f>C165/$C$238</f>
        <v>5.1704943239224495E-4</v>
      </c>
    </row>
    <row r="166" spans="1:5" x14ac:dyDescent="0.2">
      <c r="A166" s="4" t="s">
        <v>71</v>
      </c>
      <c r="B166" s="3">
        <v>9</v>
      </c>
      <c r="C166" s="3">
        <v>2534.5</v>
      </c>
      <c r="D166" s="3">
        <v>281.61</v>
      </c>
      <c r="E166" s="2">
        <f>C166/$C$238</f>
        <v>5.1664174508107418E-4</v>
      </c>
    </row>
    <row r="167" spans="1:5" x14ac:dyDescent="0.2">
      <c r="A167" s="4" t="s">
        <v>70</v>
      </c>
      <c r="B167" s="3">
        <v>9</v>
      </c>
      <c r="C167" s="3">
        <v>2352</v>
      </c>
      <c r="D167" s="3">
        <v>261.33</v>
      </c>
      <c r="E167" s="2">
        <f>C167/$C$238</f>
        <v>4.7944027793674754E-4</v>
      </c>
    </row>
    <row r="168" spans="1:5" x14ac:dyDescent="0.2">
      <c r="A168" s="4" t="s">
        <v>69</v>
      </c>
      <c r="B168" s="3">
        <v>8</v>
      </c>
      <c r="C168" s="3">
        <v>2334</v>
      </c>
      <c r="D168" s="3">
        <v>291.75</v>
      </c>
      <c r="E168" s="2">
        <f>C168/$C$238</f>
        <v>4.757710921362112E-4</v>
      </c>
    </row>
    <row r="169" spans="1:5" x14ac:dyDescent="0.2">
      <c r="A169" s="4" t="s">
        <v>68</v>
      </c>
      <c r="B169" s="3">
        <v>6</v>
      </c>
      <c r="C169" s="3">
        <v>2324</v>
      </c>
      <c r="D169" s="3">
        <v>387.33</v>
      </c>
      <c r="E169" s="2">
        <f>C169/$C$238</f>
        <v>4.7373265558035767E-4</v>
      </c>
    </row>
    <row r="170" spans="1:5" x14ac:dyDescent="0.2">
      <c r="A170" s="4" t="s">
        <v>67</v>
      </c>
      <c r="B170" s="3">
        <v>6</v>
      </c>
      <c r="C170" s="3">
        <v>2307.5</v>
      </c>
      <c r="D170" s="3">
        <v>384.58</v>
      </c>
      <c r="E170" s="2">
        <f>C170/$C$238</f>
        <v>4.7036923526319938E-4</v>
      </c>
    </row>
    <row r="171" spans="1:5" x14ac:dyDescent="0.2">
      <c r="A171" s="4" t="s">
        <v>66</v>
      </c>
      <c r="B171" s="3">
        <v>11</v>
      </c>
      <c r="C171" s="3">
        <v>2301</v>
      </c>
      <c r="D171" s="3">
        <v>209.18</v>
      </c>
      <c r="E171" s="2">
        <f>C171/$C$238</f>
        <v>4.6904425150189456E-4</v>
      </c>
    </row>
    <row r="172" spans="1:5" x14ac:dyDescent="0.2">
      <c r="A172" s="4" t="s">
        <v>65</v>
      </c>
      <c r="B172" s="3">
        <v>13</v>
      </c>
      <c r="C172" s="3">
        <v>2297</v>
      </c>
      <c r="D172" s="3">
        <v>176.69</v>
      </c>
      <c r="E172" s="2">
        <f>C172/$C$238</f>
        <v>4.6822887687955318E-4</v>
      </c>
    </row>
    <row r="173" spans="1:5" x14ac:dyDescent="0.2">
      <c r="A173" s="4" t="s">
        <v>64</v>
      </c>
      <c r="B173" s="3">
        <v>4</v>
      </c>
      <c r="C173" s="3">
        <v>2282</v>
      </c>
      <c r="D173" s="3">
        <v>570.5</v>
      </c>
      <c r="E173" s="2">
        <f>C173/$C$238</f>
        <v>4.6517122204577289E-4</v>
      </c>
    </row>
    <row r="174" spans="1:5" x14ac:dyDescent="0.2">
      <c r="A174" s="4" t="s">
        <v>63</v>
      </c>
      <c r="B174" s="3">
        <v>7</v>
      </c>
      <c r="C174" s="3">
        <v>2234</v>
      </c>
      <c r="D174" s="3">
        <v>319.14</v>
      </c>
      <c r="E174" s="2">
        <f>C174/$C$238</f>
        <v>4.5538672657767602E-4</v>
      </c>
    </row>
    <row r="175" spans="1:5" x14ac:dyDescent="0.2">
      <c r="A175" s="4" t="s">
        <v>62</v>
      </c>
      <c r="B175" s="3">
        <v>6</v>
      </c>
      <c r="C175" s="3">
        <v>2233.5</v>
      </c>
      <c r="D175" s="3">
        <v>372.25</v>
      </c>
      <c r="E175" s="2">
        <f>C175/$C$238</f>
        <v>4.5528480474988335E-4</v>
      </c>
    </row>
    <row r="176" spans="1:5" x14ac:dyDescent="0.2">
      <c r="A176" s="4" t="s">
        <v>61</v>
      </c>
      <c r="B176" s="3">
        <v>6</v>
      </c>
      <c r="C176" s="3">
        <v>2217</v>
      </c>
      <c r="D176" s="3">
        <v>369.5</v>
      </c>
      <c r="E176" s="2">
        <f>C176/$C$238</f>
        <v>4.51921384432725E-4</v>
      </c>
    </row>
    <row r="177" spans="1:5" x14ac:dyDescent="0.2">
      <c r="A177" s="4" t="s">
        <v>60</v>
      </c>
      <c r="B177" s="3">
        <v>10</v>
      </c>
      <c r="C177" s="3">
        <v>2172</v>
      </c>
      <c r="D177" s="3">
        <v>217.2</v>
      </c>
      <c r="E177" s="2">
        <f>C177/$C$238</f>
        <v>4.4274841993138418E-4</v>
      </c>
    </row>
    <row r="178" spans="1:5" x14ac:dyDescent="0.2">
      <c r="A178" s="4" t="s">
        <v>59</v>
      </c>
      <c r="B178" s="3">
        <v>11</v>
      </c>
      <c r="C178" s="3">
        <v>2121.5</v>
      </c>
      <c r="D178" s="3">
        <v>192.86</v>
      </c>
      <c r="E178" s="2">
        <f>C178/$C$238</f>
        <v>4.3245431532432392E-4</v>
      </c>
    </row>
    <row r="179" spans="1:5" x14ac:dyDescent="0.2">
      <c r="A179" s="4" t="s">
        <v>58</v>
      </c>
      <c r="B179" s="3">
        <v>6</v>
      </c>
      <c r="C179" s="3">
        <v>2068.5</v>
      </c>
      <c r="D179" s="3">
        <v>344.75</v>
      </c>
      <c r="E179" s="2">
        <f>C179/$C$238</f>
        <v>4.2165060157830028E-4</v>
      </c>
    </row>
    <row r="180" spans="1:5" x14ac:dyDescent="0.2">
      <c r="A180" s="4" t="s">
        <v>57</v>
      </c>
      <c r="B180" s="3">
        <v>8</v>
      </c>
      <c r="C180" s="3">
        <v>2002.5</v>
      </c>
      <c r="D180" s="3">
        <v>250.31</v>
      </c>
      <c r="E180" s="2">
        <f>C180/$C$238</f>
        <v>4.0819692030966706E-4</v>
      </c>
    </row>
    <row r="181" spans="1:5" x14ac:dyDescent="0.2">
      <c r="A181" s="4" t="s">
        <v>56</v>
      </c>
      <c r="B181" s="3">
        <v>15</v>
      </c>
      <c r="C181" s="3">
        <v>1993.5</v>
      </c>
      <c r="D181" s="3">
        <v>132.9</v>
      </c>
      <c r="E181" s="2">
        <f>C181/$C$238</f>
        <v>4.0636232740939886E-4</v>
      </c>
    </row>
    <row r="182" spans="1:5" x14ac:dyDescent="0.2">
      <c r="A182" s="4" t="s">
        <v>55</v>
      </c>
      <c r="B182" s="3">
        <v>6</v>
      </c>
      <c r="C182" s="3">
        <v>1987</v>
      </c>
      <c r="D182" s="3">
        <v>331.17</v>
      </c>
      <c r="E182" s="2">
        <f>C182/$C$238</f>
        <v>4.050373436480941E-4</v>
      </c>
    </row>
    <row r="183" spans="1:5" x14ac:dyDescent="0.2">
      <c r="A183" s="4" t="s">
        <v>54</v>
      </c>
      <c r="B183" s="3">
        <v>9</v>
      </c>
      <c r="C183" s="3">
        <v>1981.5</v>
      </c>
      <c r="D183" s="3">
        <v>220.17</v>
      </c>
      <c r="E183" s="2">
        <f>C183/$C$238</f>
        <v>4.0391620354237467E-4</v>
      </c>
    </row>
    <row r="184" spans="1:5" x14ac:dyDescent="0.2">
      <c r="A184" s="4" t="s">
        <v>53</v>
      </c>
      <c r="B184" s="3">
        <v>9</v>
      </c>
      <c r="C184" s="3">
        <v>1973</v>
      </c>
      <c r="D184" s="3">
        <v>219.22</v>
      </c>
      <c r="E184" s="2">
        <f>C184/$C$238</f>
        <v>4.0218353246989919E-4</v>
      </c>
    </row>
    <row r="185" spans="1:5" x14ac:dyDescent="0.2">
      <c r="A185" s="4" t="s">
        <v>52</v>
      </c>
      <c r="B185" s="3">
        <v>7</v>
      </c>
      <c r="C185" s="3">
        <v>1933.5</v>
      </c>
      <c r="D185" s="3">
        <v>276.20999999999998</v>
      </c>
      <c r="E185" s="2">
        <f>C185/$C$238</f>
        <v>3.941317080742778E-4</v>
      </c>
    </row>
    <row r="186" spans="1:5" x14ac:dyDescent="0.2">
      <c r="A186" s="4" t="s">
        <v>51</v>
      </c>
      <c r="B186" s="3">
        <v>5</v>
      </c>
      <c r="C186" s="3">
        <v>1914</v>
      </c>
      <c r="D186" s="3">
        <v>382.8</v>
      </c>
      <c r="E186" s="2">
        <f>C186/$C$238</f>
        <v>3.901567567903634E-4</v>
      </c>
    </row>
    <row r="187" spans="1:5" x14ac:dyDescent="0.2">
      <c r="A187" s="4" t="s">
        <v>50</v>
      </c>
      <c r="B187" s="3">
        <v>6</v>
      </c>
      <c r="C187" s="3">
        <v>1902</v>
      </c>
      <c r="D187" s="3">
        <v>317</v>
      </c>
      <c r="E187" s="2">
        <f>C187/$C$238</f>
        <v>3.8771063292333921E-4</v>
      </c>
    </row>
    <row r="188" spans="1:5" x14ac:dyDescent="0.2">
      <c r="A188" s="4" t="s">
        <v>49</v>
      </c>
      <c r="B188" s="3">
        <v>4</v>
      </c>
      <c r="C188" s="3">
        <v>1717.5</v>
      </c>
      <c r="D188" s="3">
        <v>429.38</v>
      </c>
      <c r="E188" s="2">
        <f>C188/$C$238</f>
        <v>3.501014784678418E-4</v>
      </c>
    </row>
    <row r="189" spans="1:5" x14ac:dyDescent="0.2">
      <c r="A189" s="4" t="s">
        <v>48</v>
      </c>
      <c r="B189" s="3">
        <v>5</v>
      </c>
      <c r="C189" s="3">
        <v>1709.5</v>
      </c>
      <c r="D189" s="3">
        <v>341.9</v>
      </c>
      <c r="E189" s="2">
        <f>C189/$C$238</f>
        <v>3.4847072922315894E-4</v>
      </c>
    </row>
    <row r="190" spans="1:5" x14ac:dyDescent="0.2">
      <c r="A190" s="4" t="s">
        <v>47</v>
      </c>
      <c r="B190" s="3">
        <v>5</v>
      </c>
      <c r="C190" s="3">
        <v>1692.5</v>
      </c>
      <c r="D190" s="3">
        <v>338.5</v>
      </c>
      <c r="E190" s="2">
        <f>C190/$C$238</f>
        <v>3.4500538707820798E-4</v>
      </c>
    </row>
    <row r="191" spans="1:5" x14ac:dyDescent="0.2">
      <c r="A191" s="4" t="s">
        <v>46</v>
      </c>
      <c r="B191" s="3">
        <v>7</v>
      </c>
      <c r="C191" s="3">
        <v>1661.5</v>
      </c>
      <c r="D191" s="3">
        <v>237.36</v>
      </c>
      <c r="E191" s="2">
        <f>C191/$C$238</f>
        <v>3.3868623375506206E-4</v>
      </c>
    </row>
    <row r="192" spans="1:5" x14ac:dyDescent="0.2">
      <c r="A192" s="4" t="s">
        <v>45</v>
      </c>
      <c r="B192" s="3">
        <v>3</v>
      </c>
      <c r="C192" s="3">
        <v>1631</v>
      </c>
      <c r="D192" s="3">
        <v>543.66999999999996</v>
      </c>
      <c r="E192" s="2">
        <f>C192/$C$238</f>
        <v>3.3246900225970886E-4</v>
      </c>
    </row>
    <row r="193" spans="1:5" x14ac:dyDescent="0.2">
      <c r="A193" s="4" t="s">
        <v>44</v>
      </c>
      <c r="B193" s="3">
        <v>6</v>
      </c>
      <c r="C193" s="3">
        <v>1616.5</v>
      </c>
      <c r="D193" s="3">
        <v>269.42</v>
      </c>
      <c r="E193" s="2">
        <f>C193/$C$238</f>
        <v>3.2951326925372124E-4</v>
      </c>
    </row>
    <row r="194" spans="1:5" x14ac:dyDescent="0.2">
      <c r="A194" s="4" t="s">
        <v>43</v>
      </c>
      <c r="B194" s="3">
        <v>10</v>
      </c>
      <c r="C194" s="3">
        <v>1462</v>
      </c>
      <c r="D194" s="3">
        <v>146.19999999999999</v>
      </c>
      <c r="E194" s="2">
        <f>C194/$C$238</f>
        <v>2.9801942446578436E-4</v>
      </c>
    </row>
    <row r="195" spans="1:5" x14ac:dyDescent="0.2">
      <c r="A195" s="4" t="s">
        <v>42</v>
      </c>
      <c r="B195" s="3">
        <v>6</v>
      </c>
      <c r="C195" s="3">
        <v>1357</v>
      </c>
      <c r="D195" s="3">
        <v>226.17</v>
      </c>
      <c r="E195" s="2">
        <f>C195/$C$238</f>
        <v>2.7661584062932247E-4</v>
      </c>
    </row>
    <row r="196" spans="1:5" x14ac:dyDescent="0.2">
      <c r="A196" s="4" t="s">
        <v>41</v>
      </c>
      <c r="B196" s="3">
        <v>7</v>
      </c>
      <c r="C196" s="3">
        <v>1353</v>
      </c>
      <c r="D196" s="3">
        <v>193.29</v>
      </c>
      <c r="E196" s="2">
        <f>C196/$C$238</f>
        <v>2.7580046600698103E-4</v>
      </c>
    </row>
    <row r="197" spans="1:5" x14ac:dyDescent="0.2">
      <c r="A197" s="4" t="s">
        <v>40</v>
      </c>
      <c r="B197" s="3">
        <v>4</v>
      </c>
      <c r="C197" s="3">
        <v>1267.5</v>
      </c>
      <c r="D197" s="3">
        <v>316.88</v>
      </c>
      <c r="E197" s="2">
        <f>C197/$C$238</f>
        <v>2.5837183345443348E-4</v>
      </c>
    </row>
    <row r="198" spans="1:5" x14ac:dyDescent="0.2">
      <c r="A198" s="4" t="s">
        <v>39</v>
      </c>
      <c r="B198" s="3">
        <v>3</v>
      </c>
      <c r="C198" s="3">
        <v>1199</v>
      </c>
      <c r="D198" s="3">
        <v>399.67</v>
      </c>
      <c r="E198" s="2">
        <f>C198/$C$238</f>
        <v>2.4440854304683688E-4</v>
      </c>
    </row>
    <row r="199" spans="1:5" x14ac:dyDescent="0.2">
      <c r="A199" s="4" t="s">
        <v>38</v>
      </c>
      <c r="B199" s="3">
        <v>4</v>
      </c>
      <c r="C199" s="3">
        <v>1193.5</v>
      </c>
      <c r="D199" s="3">
        <v>298.38</v>
      </c>
      <c r="E199" s="2">
        <f>C199/$C$238</f>
        <v>2.4328740294111742E-4</v>
      </c>
    </row>
    <row r="200" spans="1:5" x14ac:dyDescent="0.2">
      <c r="A200" s="4" t="s">
        <v>37</v>
      </c>
      <c r="B200" s="3">
        <v>4</v>
      </c>
      <c r="C200" s="3">
        <v>1158</v>
      </c>
      <c r="D200" s="3">
        <v>289.5</v>
      </c>
      <c r="E200" s="2">
        <f>C200/$C$238</f>
        <v>2.3605095316783743E-4</v>
      </c>
    </row>
    <row r="201" spans="1:5" x14ac:dyDescent="0.2">
      <c r="A201" s="4" t="s">
        <v>36</v>
      </c>
      <c r="B201" s="3">
        <v>6</v>
      </c>
      <c r="C201" s="3">
        <v>1152.5</v>
      </c>
      <c r="D201" s="3">
        <v>192.08</v>
      </c>
      <c r="E201" s="2">
        <f>C201/$C$238</f>
        <v>2.34929813062118E-4</v>
      </c>
    </row>
    <row r="202" spans="1:5" x14ac:dyDescent="0.2">
      <c r="A202" s="4" t="s">
        <v>35</v>
      </c>
      <c r="B202" s="3">
        <v>2</v>
      </c>
      <c r="C202" s="3">
        <v>1131</v>
      </c>
      <c r="D202" s="3">
        <v>565.5</v>
      </c>
      <c r="E202" s="2">
        <f>C202/$C$238</f>
        <v>2.3054717446703292E-4</v>
      </c>
    </row>
    <row r="203" spans="1:5" x14ac:dyDescent="0.2">
      <c r="A203" s="4" t="s">
        <v>34</v>
      </c>
      <c r="B203" s="3">
        <v>2</v>
      </c>
      <c r="C203" s="3">
        <v>1081</v>
      </c>
      <c r="D203" s="3">
        <v>540.5</v>
      </c>
      <c r="E203" s="2">
        <f>C203/$C$238</f>
        <v>2.2035499168776532E-4</v>
      </c>
    </row>
    <row r="204" spans="1:5" x14ac:dyDescent="0.2">
      <c r="A204" s="4" t="s">
        <v>33</v>
      </c>
      <c r="B204" s="3">
        <v>4</v>
      </c>
      <c r="C204" s="3">
        <v>1008.5</v>
      </c>
      <c r="D204" s="3">
        <v>252.13</v>
      </c>
      <c r="E204" s="2">
        <f>C204/$C$238</f>
        <v>2.0557632665782732E-4</v>
      </c>
    </row>
    <row r="205" spans="1:5" x14ac:dyDescent="0.2">
      <c r="A205" s="4" t="s">
        <v>32</v>
      </c>
      <c r="B205" s="3">
        <v>6</v>
      </c>
      <c r="C205" s="3">
        <v>995.5</v>
      </c>
      <c r="D205" s="3">
        <v>165.92</v>
      </c>
      <c r="E205" s="2">
        <f>C205/$C$238</f>
        <v>2.0292635913521774E-4</v>
      </c>
    </row>
    <row r="206" spans="1:5" x14ac:dyDescent="0.2">
      <c r="A206" s="4" t="s">
        <v>31</v>
      </c>
      <c r="B206" s="3">
        <v>3</v>
      </c>
      <c r="C206" s="3">
        <v>923</v>
      </c>
      <c r="D206" s="3">
        <v>307.67</v>
      </c>
      <c r="E206" s="2">
        <f>C206/$C$238</f>
        <v>1.8814769410527974E-4</v>
      </c>
    </row>
    <row r="207" spans="1:5" x14ac:dyDescent="0.2">
      <c r="A207" s="4" t="s">
        <v>30</v>
      </c>
      <c r="B207" s="3">
        <v>4</v>
      </c>
      <c r="C207" s="3">
        <v>867</v>
      </c>
      <c r="D207" s="3">
        <v>216.75</v>
      </c>
      <c r="E207" s="2">
        <f>C207/$C$238</f>
        <v>1.7673244939250005E-4</v>
      </c>
    </row>
    <row r="208" spans="1:5" x14ac:dyDescent="0.2">
      <c r="A208" s="4" t="s">
        <v>29</v>
      </c>
      <c r="B208" s="3">
        <v>4</v>
      </c>
      <c r="C208" s="3">
        <v>862</v>
      </c>
      <c r="D208" s="3">
        <v>215.5</v>
      </c>
      <c r="E208" s="2">
        <f>C208/$C$238</f>
        <v>1.7571323111457328E-4</v>
      </c>
    </row>
    <row r="209" spans="1:5" x14ac:dyDescent="0.2">
      <c r="A209" s="4" t="s">
        <v>28</v>
      </c>
      <c r="B209" s="3">
        <v>3</v>
      </c>
      <c r="C209" s="3">
        <v>848.5</v>
      </c>
      <c r="D209" s="3">
        <v>282.83</v>
      </c>
      <c r="E209" s="2">
        <f>C209/$C$238</f>
        <v>1.7296134176417104E-4</v>
      </c>
    </row>
    <row r="210" spans="1:5" x14ac:dyDescent="0.2">
      <c r="A210" s="4" t="s">
        <v>27</v>
      </c>
      <c r="B210" s="3">
        <v>2</v>
      </c>
      <c r="C210" s="3">
        <v>822</v>
      </c>
      <c r="D210" s="3">
        <v>411</v>
      </c>
      <c r="E210" s="2">
        <f>C210/$C$238</f>
        <v>1.6755948489115922E-4</v>
      </c>
    </row>
    <row r="211" spans="1:5" x14ac:dyDescent="0.2">
      <c r="A211" s="4" t="s">
        <v>26</v>
      </c>
      <c r="B211" s="3">
        <v>3</v>
      </c>
      <c r="C211" s="3">
        <v>802</v>
      </c>
      <c r="D211" s="3">
        <v>267.33</v>
      </c>
      <c r="E211" s="2">
        <f>C211/$C$238</f>
        <v>1.6348261177945216E-4</v>
      </c>
    </row>
    <row r="212" spans="1:5" x14ac:dyDescent="0.2">
      <c r="A212" s="4" t="s">
        <v>25</v>
      </c>
      <c r="B212" s="3">
        <v>4</v>
      </c>
      <c r="C212" s="3">
        <v>714</v>
      </c>
      <c r="D212" s="3">
        <v>178.5</v>
      </c>
      <c r="E212" s="2">
        <f>C212/$C$238</f>
        <v>1.4554437008794122E-4</v>
      </c>
    </row>
    <row r="213" spans="1:5" x14ac:dyDescent="0.2">
      <c r="A213" s="4" t="s">
        <v>24</v>
      </c>
      <c r="B213" s="3">
        <v>3</v>
      </c>
      <c r="C213" s="3">
        <v>655.5</v>
      </c>
      <c r="D213" s="3">
        <v>218.5</v>
      </c>
      <c r="E213" s="2">
        <f>C213/$C$238</f>
        <v>1.3361951623619813E-4</v>
      </c>
    </row>
    <row r="214" spans="1:5" x14ac:dyDescent="0.2">
      <c r="A214" s="4" t="s">
        <v>23</v>
      </c>
      <c r="B214" s="3">
        <v>2</v>
      </c>
      <c r="C214" s="3">
        <v>653</v>
      </c>
      <c r="D214" s="3">
        <v>326.5</v>
      </c>
      <c r="E214" s="2">
        <f>C214/$C$238</f>
        <v>1.3310990709723474E-4</v>
      </c>
    </row>
    <row r="215" spans="1:5" x14ac:dyDescent="0.2">
      <c r="A215" s="4" t="s">
        <v>22</v>
      </c>
      <c r="B215" s="3">
        <v>4</v>
      </c>
      <c r="C215" s="3">
        <v>611</v>
      </c>
      <c r="D215" s="3">
        <v>152.75</v>
      </c>
      <c r="E215" s="2">
        <f>C215/$C$238</f>
        <v>1.2454847356264996E-4</v>
      </c>
    </row>
    <row r="216" spans="1:5" x14ac:dyDescent="0.2">
      <c r="A216" s="4" t="s">
        <v>21</v>
      </c>
      <c r="B216" s="3">
        <v>6</v>
      </c>
      <c r="C216" s="3">
        <v>604</v>
      </c>
      <c r="D216" s="3">
        <v>100.67</v>
      </c>
      <c r="E216" s="2">
        <f>C216/$C$238</f>
        <v>1.2312156797355251E-4</v>
      </c>
    </row>
    <row r="217" spans="1:5" x14ac:dyDescent="0.2">
      <c r="A217" s="4" t="s">
        <v>20</v>
      </c>
      <c r="B217" s="3">
        <v>3</v>
      </c>
      <c r="C217" s="3">
        <v>579</v>
      </c>
      <c r="D217" s="3">
        <v>193</v>
      </c>
      <c r="E217" s="2">
        <f>C217/$C$238</f>
        <v>1.1802547658391871E-4</v>
      </c>
    </row>
    <row r="218" spans="1:5" x14ac:dyDescent="0.2">
      <c r="A218" s="4" t="s">
        <v>19</v>
      </c>
      <c r="B218" s="3">
        <v>2</v>
      </c>
      <c r="C218" s="3">
        <v>411.5</v>
      </c>
      <c r="D218" s="3">
        <v>205.75</v>
      </c>
      <c r="E218" s="2">
        <f>C218/$C$238</f>
        <v>8.3881664273372276E-5</v>
      </c>
    </row>
    <row r="219" spans="1:5" x14ac:dyDescent="0.2">
      <c r="A219" s="4" t="s">
        <v>18</v>
      </c>
      <c r="B219" s="3">
        <v>2</v>
      </c>
      <c r="C219" s="3">
        <v>396</v>
      </c>
      <c r="D219" s="3">
        <v>198</v>
      </c>
      <c r="E219" s="2">
        <f>C219/$C$238</f>
        <v>8.072208761179933E-5</v>
      </c>
    </row>
    <row r="220" spans="1:5" x14ac:dyDescent="0.2">
      <c r="A220" s="4" t="s">
        <v>17</v>
      </c>
      <c r="B220" s="3">
        <v>3</v>
      </c>
      <c r="C220" s="3">
        <v>390.5</v>
      </c>
      <c r="D220" s="3">
        <v>130.16999999999999</v>
      </c>
      <c r="E220" s="2">
        <f>C220/$C$238</f>
        <v>7.9600947506079886E-5</v>
      </c>
    </row>
    <row r="221" spans="1:5" x14ac:dyDescent="0.2">
      <c r="A221" s="4" t="s">
        <v>16</v>
      </c>
      <c r="B221" s="3">
        <v>2</v>
      </c>
      <c r="C221" s="3">
        <v>384</v>
      </c>
      <c r="D221" s="3">
        <v>192</v>
      </c>
      <c r="E221" s="2">
        <f>C221/$C$238</f>
        <v>7.8275963744775111E-5</v>
      </c>
    </row>
    <row r="222" spans="1:5" x14ac:dyDescent="0.2">
      <c r="A222" s="4" t="s">
        <v>15</v>
      </c>
      <c r="B222" s="3">
        <v>2</v>
      </c>
      <c r="C222" s="3">
        <v>355</v>
      </c>
      <c r="D222" s="3">
        <v>177.5</v>
      </c>
      <c r="E222" s="2">
        <f>C222/$C$238</f>
        <v>7.2364497732799895E-5</v>
      </c>
    </row>
    <row r="223" spans="1:5" x14ac:dyDescent="0.2">
      <c r="A223" s="4" t="s">
        <v>14</v>
      </c>
      <c r="B223" s="3">
        <v>3</v>
      </c>
      <c r="C223" s="3">
        <v>335</v>
      </c>
      <c r="D223" s="3">
        <v>111.67</v>
      </c>
      <c r="E223" s="2">
        <f>C223/$C$238</f>
        <v>6.8287624621092864E-5</v>
      </c>
    </row>
    <row r="224" spans="1:5" x14ac:dyDescent="0.2">
      <c r="A224" s="4" t="s">
        <v>13</v>
      </c>
      <c r="B224" s="3">
        <v>1</v>
      </c>
      <c r="C224" s="3">
        <v>258</v>
      </c>
      <c r="D224" s="3">
        <v>258</v>
      </c>
      <c r="E224" s="2">
        <f>C224/$C$238</f>
        <v>5.2591663141020773E-5</v>
      </c>
    </row>
    <row r="225" spans="1:5" x14ac:dyDescent="0.2">
      <c r="A225" s="4" t="s">
        <v>12</v>
      </c>
      <c r="B225" s="3">
        <v>1</v>
      </c>
      <c r="C225" s="3">
        <v>212.5</v>
      </c>
      <c r="D225" s="3">
        <v>212.5</v>
      </c>
      <c r="E225" s="2">
        <f>C225/$C$238</f>
        <v>4.3316776811887266E-5</v>
      </c>
    </row>
    <row r="226" spans="1:5" x14ac:dyDescent="0.2">
      <c r="A226" s="4" t="s">
        <v>11</v>
      </c>
      <c r="B226" s="3">
        <v>1</v>
      </c>
      <c r="C226" s="3">
        <v>177</v>
      </c>
      <c r="D226" s="3">
        <v>177</v>
      </c>
      <c r="E226" s="2">
        <f>C226/$C$238</f>
        <v>3.6080327038607275E-5</v>
      </c>
    </row>
    <row r="227" spans="1:5" x14ac:dyDescent="0.2">
      <c r="A227" s="4" t="s">
        <v>10</v>
      </c>
      <c r="B227" s="3">
        <v>1</v>
      </c>
      <c r="C227" s="3">
        <v>160.5</v>
      </c>
      <c r="D227" s="3">
        <v>160.5</v>
      </c>
      <c r="E227" s="2">
        <f>C227/$C$238</f>
        <v>3.2716906721448971E-5</v>
      </c>
    </row>
    <row r="228" spans="1:5" x14ac:dyDescent="0.2">
      <c r="A228" s="4" t="s">
        <v>9</v>
      </c>
      <c r="B228" s="3">
        <v>2</v>
      </c>
      <c r="C228" s="3">
        <v>148.5</v>
      </c>
      <c r="D228" s="3">
        <v>74.25</v>
      </c>
      <c r="E228" s="2">
        <f>C228/$C$238</f>
        <v>3.0270782854424749E-5</v>
      </c>
    </row>
    <row r="229" spans="1:5" x14ac:dyDescent="0.2">
      <c r="A229" s="4" t="s">
        <v>8</v>
      </c>
      <c r="B229" s="3">
        <v>1</v>
      </c>
      <c r="C229" s="3">
        <v>133</v>
      </c>
      <c r="D229" s="3">
        <v>133</v>
      </c>
      <c r="E229" s="2">
        <f>C229/$C$238</f>
        <v>2.7111206192851793E-5</v>
      </c>
    </row>
    <row r="230" spans="1:5" x14ac:dyDescent="0.2">
      <c r="A230" s="4" t="s">
        <v>7</v>
      </c>
      <c r="B230" s="3">
        <v>1</v>
      </c>
      <c r="C230" s="3">
        <v>93.5</v>
      </c>
      <c r="D230" s="3">
        <v>93.5</v>
      </c>
      <c r="E230" s="2">
        <f>C230/$C$238</f>
        <v>1.9059381797230395E-5</v>
      </c>
    </row>
    <row r="231" spans="1:5" x14ac:dyDescent="0.2">
      <c r="A231" s="4" t="s">
        <v>6</v>
      </c>
      <c r="B231" s="3">
        <v>1</v>
      </c>
      <c r="C231" s="3">
        <v>79</v>
      </c>
      <c r="D231" s="3">
        <v>79</v>
      </c>
      <c r="E231" s="2">
        <f>C231/$C$238</f>
        <v>1.6103648791242794E-5</v>
      </c>
    </row>
    <row r="232" spans="1:5" x14ac:dyDescent="0.2">
      <c r="A232" s="4" t="s">
        <v>5</v>
      </c>
      <c r="B232" s="3">
        <v>1</v>
      </c>
      <c r="C232" s="3">
        <v>73</v>
      </c>
      <c r="D232" s="3">
        <v>73</v>
      </c>
      <c r="E232" s="2">
        <f>C232/$C$238</f>
        <v>1.4880586857730683E-5</v>
      </c>
    </row>
    <row r="233" spans="1:5" x14ac:dyDescent="0.2">
      <c r="A233" s="4" t="s">
        <v>4</v>
      </c>
      <c r="B233" s="3">
        <v>1</v>
      </c>
      <c r="C233" s="3">
        <v>72.5</v>
      </c>
      <c r="D233" s="3">
        <v>72.5</v>
      </c>
      <c r="E233" s="2">
        <f>C233/$C$238</f>
        <v>1.4778665029938007E-5</v>
      </c>
    </row>
    <row r="234" spans="1:5" x14ac:dyDescent="0.2">
      <c r="A234" s="4" t="s">
        <v>3</v>
      </c>
      <c r="B234" s="3">
        <v>1</v>
      </c>
      <c r="C234" s="3">
        <v>68.5</v>
      </c>
      <c r="D234" s="3">
        <v>68.5</v>
      </c>
      <c r="E234" s="2">
        <f>C234/$C$238</f>
        <v>1.3963290407596601E-5</v>
      </c>
    </row>
    <row r="235" spans="1:5" x14ac:dyDescent="0.2">
      <c r="A235" s="4" t="s">
        <v>2</v>
      </c>
      <c r="B235" s="3">
        <v>1</v>
      </c>
      <c r="C235" s="3">
        <v>66.5</v>
      </c>
      <c r="D235" s="3">
        <v>66.5</v>
      </c>
      <c r="E235" s="2">
        <f>C235/$C$238</f>
        <v>1.3555603096425896E-5</v>
      </c>
    </row>
    <row r="236" spans="1:5" x14ac:dyDescent="0.2">
      <c r="A236" s="4" t="s">
        <v>1</v>
      </c>
      <c r="B236" s="3">
        <v>1</v>
      </c>
      <c r="C236" s="3">
        <v>58</v>
      </c>
      <c r="D236" s="3">
        <v>58</v>
      </c>
      <c r="E236" s="2">
        <f>C236/$C$238</f>
        <v>1.1822932023950406E-5</v>
      </c>
    </row>
    <row r="237" spans="1:5" x14ac:dyDescent="0.2">
      <c r="A237" s="4" t="s">
        <v>0</v>
      </c>
      <c r="B237" s="3">
        <v>1</v>
      </c>
      <c r="C237" s="3">
        <v>36</v>
      </c>
      <c r="D237" s="3">
        <v>36</v>
      </c>
      <c r="E237" s="2">
        <f>C237/$C$238</f>
        <v>7.3383716010726658E-6</v>
      </c>
    </row>
    <row r="238" spans="1:5" x14ac:dyDescent="0.2">
      <c r="C238" s="1">
        <f>SUM(C29:C237)</f>
        <v>4905720.5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BB0794-EDCA-F44C-9797-90CF6F4756F6}">
  <dimension ref="A2:Q70"/>
  <sheetViews>
    <sheetView topLeftCell="A39" workbookViewId="0">
      <selection activeCell="B63" sqref="B63"/>
    </sheetView>
  </sheetViews>
  <sheetFormatPr baseColWidth="10" defaultRowHeight="16" x14ac:dyDescent="0.2"/>
  <cols>
    <col min="1" max="1" width="25.83203125" customWidth="1"/>
    <col min="2" max="2" width="18.33203125" bestFit="1" customWidth="1"/>
    <col min="3" max="3" width="18.6640625" bestFit="1" customWidth="1"/>
    <col min="4" max="4" width="13" bestFit="1" customWidth="1"/>
    <col min="6" max="6" width="12.5" bestFit="1" customWidth="1"/>
    <col min="7" max="7" width="25" bestFit="1" customWidth="1"/>
    <col min="8" max="8" width="9.5" bestFit="1" customWidth="1"/>
    <col min="9" max="9" width="12.5" bestFit="1" customWidth="1"/>
    <col min="10" max="10" width="15" customWidth="1"/>
    <col min="11" max="11" width="8.1640625" customWidth="1"/>
    <col min="12" max="12" width="21.1640625" customWidth="1"/>
    <col min="13" max="13" width="20" customWidth="1"/>
    <col min="14" max="14" width="15.83203125" customWidth="1"/>
    <col min="15" max="15" width="25" bestFit="1" customWidth="1"/>
    <col min="16" max="17" width="13" bestFit="1" customWidth="1"/>
  </cols>
  <sheetData>
    <row r="2" spans="1:4" x14ac:dyDescent="0.2">
      <c r="A2" s="35" t="s">
        <v>256</v>
      </c>
      <c r="B2" s="33" t="s">
        <v>259</v>
      </c>
      <c r="C2" s="34"/>
      <c r="D2" t="s">
        <v>276</v>
      </c>
    </row>
    <row r="3" spans="1:4" x14ac:dyDescent="0.2">
      <c r="A3" s="9" t="s">
        <v>243</v>
      </c>
      <c r="B3" s="3">
        <v>16430</v>
      </c>
      <c r="C3" s="7">
        <f>B3/B9</f>
        <v>0.95723607550687484</v>
      </c>
    </row>
    <row r="4" spans="1:4" x14ac:dyDescent="0.2">
      <c r="A4" s="9" t="s">
        <v>240</v>
      </c>
      <c r="B4" s="3">
        <v>670</v>
      </c>
      <c r="C4" s="34"/>
      <c r="D4" t="s">
        <v>275</v>
      </c>
    </row>
    <row r="5" spans="1:4" x14ac:dyDescent="0.2">
      <c r="A5" s="4" t="s">
        <v>236</v>
      </c>
      <c r="B5" s="21">
        <v>55</v>
      </c>
      <c r="C5" s="34"/>
      <c r="D5" t="s">
        <v>274</v>
      </c>
    </row>
    <row r="6" spans="1:4" x14ac:dyDescent="0.2">
      <c r="A6" s="9" t="s">
        <v>231</v>
      </c>
      <c r="B6" s="3">
        <v>8</v>
      </c>
    </row>
    <row r="7" spans="1:4" x14ac:dyDescent="0.2">
      <c r="A7" s="4" t="s">
        <v>273</v>
      </c>
      <c r="B7" s="3">
        <v>1</v>
      </c>
      <c r="C7" s="7"/>
      <c r="D7" s="7" t="s">
        <v>272</v>
      </c>
    </row>
    <row r="9" spans="1:4" x14ac:dyDescent="0.2">
      <c r="B9" s="1">
        <f>SUM(B3:B7)</f>
        <v>17164</v>
      </c>
    </row>
    <row r="13" spans="1:4" x14ac:dyDescent="0.2">
      <c r="A13" t="s">
        <v>271</v>
      </c>
    </row>
    <row r="15" spans="1:4" x14ac:dyDescent="0.2">
      <c r="A15" t="s">
        <v>270</v>
      </c>
    </row>
    <row r="16" spans="1:4" x14ac:dyDescent="0.2">
      <c r="A16" t="s">
        <v>269</v>
      </c>
    </row>
    <row r="17" spans="1:5" x14ac:dyDescent="0.2">
      <c r="A17" t="s">
        <v>268</v>
      </c>
    </row>
    <row r="20" spans="1:5" x14ac:dyDescent="0.2">
      <c r="A20" s="6" t="s">
        <v>267</v>
      </c>
      <c r="B20" s="33" t="s">
        <v>266</v>
      </c>
      <c r="C20" s="33" t="s">
        <v>265</v>
      </c>
      <c r="D20" s="32" t="s">
        <v>264</v>
      </c>
      <c r="E20" s="32" t="s">
        <v>263</v>
      </c>
    </row>
    <row r="21" spans="1:5" x14ac:dyDescent="0.2">
      <c r="A21" s="4" t="s">
        <v>241</v>
      </c>
      <c r="B21" s="21">
        <v>4321</v>
      </c>
      <c r="C21" s="21">
        <v>941529.5</v>
      </c>
      <c r="D21" s="31">
        <f>B21/$B$30</f>
        <v>0.24415188156853881</v>
      </c>
      <c r="E21" s="31">
        <f>C21/$C$30</f>
        <v>0.19579237384004711</v>
      </c>
    </row>
    <row r="22" spans="1:5" x14ac:dyDescent="0.2">
      <c r="A22" s="4" t="s">
        <v>233</v>
      </c>
      <c r="B22" s="21">
        <v>3195</v>
      </c>
      <c r="C22" s="21">
        <v>1051260</v>
      </c>
      <c r="D22" s="31">
        <f>B22/$B$30</f>
        <v>0.1805288733190191</v>
      </c>
      <c r="E22" s="31">
        <f>C22/$C$30</f>
        <v>0.21861098449181671</v>
      </c>
    </row>
    <row r="23" spans="1:5" x14ac:dyDescent="0.2">
      <c r="A23" s="4" t="s">
        <v>238</v>
      </c>
      <c r="B23" s="21">
        <v>3097</v>
      </c>
      <c r="C23" s="21">
        <v>767300</v>
      </c>
      <c r="D23" s="31">
        <f>B23/$B$30</f>
        <v>0.17499152446604135</v>
      </c>
      <c r="E23" s="31">
        <f>C23/$C$30</f>
        <v>0.15956110610179303</v>
      </c>
    </row>
    <row r="24" spans="1:5" x14ac:dyDescent="0.2">
      <c r="A24" s="4" t="s">
        <v>230</v>
      </c>
      <c r="B24" s="21">
        <v>2978</v>
      </c>
      <c r="C24" s="21">
        <v>927159</v>
      </c>
      <c r="D24" s="31">
        <f>B24/$B$30</f>
        <v>0.16826760085885412</v>
      </c>
      <c r="E24" s="31">
        <f>C24/$C$30</f>
        <v>0.19280400830474695</v>
      </c>
    </row>
    <row r="25" spans="1:5" x14ac:dyDescent="0.2">
      <c r="A25" s="4" t="s">
        <v>235</v>
      </c>
      <c r="B25" s="21">
        <v>1857</v>
      </c>
      <c r="C25" s="21">
        <v>554926.5</v>
      </c>
      <c r="D25" s="31">
        <f>B25/$B$30</f>
        <v>0.1049271104079557</v>
      </c>
      <c r="E25" s="31">
        <f>C25/$C$30</f>
        <v>0.1153977403169512</v>
      </c>
    </row>
    <row r="26" spans="1:5" x14ac:dyDescent="0.2">
      <c r="A26" s="4" t="s">
        <v>229</v>
      </c>
      <c r="B26" s="21">
        <v>942</v>
      </c>
      <c r="C26" s="21">
        <v>242063.5</v>
      </c>
      <c r="D26" s="31">
        <f>B26/$B$30</f>
        <v>5.3226353260255398E-2</v>
      </c>
      <c r="E26" s="31">
        <f>C26/$C$30</f>
        <v>5.0337442730185561E-2</v>
      </c>
    </row>
    <row r="27" spans="1:5" x14ac:dyDescent="0.2">
      <c r="A27" s="4" t="s">
        <v>234</v>
      </c>
      <c r="B27" s="21">
        <v>676</v>
      </c>
      <c r="C27" s="21">
        <v>159222.5</v>
      </c>
      <c r="D27" s="31">
        <f>B27/$B$30</f>
        <v>3.8196406373601534E-2</v>
      </c>
      <c r="E27" s="31">
        <f>C27/$C$30</f>
        <v>3.3110541139440564E-2</v>
      </c>
    </row>
    <row r="28" spans="1:5" x14ac:dyDescent="0.2">
      <c r="A28" s="4" t="s">
        <v>247</v>
      </c>
      <c r="B28" s="21">
        <v>520</v>
      </c>
      <c r="C28" s="21">
        <v>138575.5</v>
      </c>
      <c r="D28" s="31">
        <f>B28/$B$30</f>
        <v>2.9381851056616566E-2</v>
      </c>
      <c r="E28" s="31">
        <f>C28/$C$30</f>
        <v>2.8816968667547273E-2</v>
      </c>
    </row>
    <row r="29" spans="1:5" x14ac:dyDescent="0.2">
      <c r="A29" s="4" t="s">
        <v>262</v>
      </c>
      <c r="B29" s="21">
        <v>112</v>
      </c>
      <c r="C29" s="21">
        <v>26779.5</v>
      </c>
      <c r="D29" s="31">
        <f>B29/$B$30</f>
        <v>6.328398689117414E-3</v>
      </c>
      <c r="E29" s="31">
        <f>C29/$C$30</f>
        <v>5.5688344074716102E-3</v>
      </c>
    </row>
    <row r="30" spans="1:5" x14ac:dyDescent="0.2">
      <c r="A30" s="4" t="s">
        <v>227</v>
      </c>
      <c r="B30" s="21">
        <v>17698</v>
      </c>
      <c r="C30" s="21">
        <v>4808816</v>
      </c>
      <c r="D30" s="31">
        <f>B30/$B$30</f>
        <v>1</v>
      </c>
      <c r="E30" s="31">
        <f>C30/$C$30</f>
        <v>1</v>
      </c>
    </row>
    <row r="33" spans="1:16" x14ac:dyDescent="0.2">
      <c r="A33" t="s">
        <v>261</v>
      </c>
    </row>
    <row r="34" spans="1:16" x14ac:dyDescent="0.2">
      <c r="A34" t="s">
        <v>260</v>
      </c>
    </row>
    <row r="37" spans="1:16" x14ac:dyDescent="0.2">
      <c r="B37" s="30"/>
    </row>
    <row r="38" spans="1:16" x14ac:dyDescent="0.2">
      <c r="A38" s="6" t="s">
        <v>255</v>
      </c>
      <c r="B38" s="6" t="s">
        <v>256</v>
      </c>
      <c r="C38" s="6" t="s">
        <v>259</v>
      </c>
      <c r="D38" s="6" t="s">
        <v>258</v>
      </c>
    </row>
    <row r="39" spans="1:16" x14ac:dyDescent="0.2">
      <c r="A39" s="4" t="s">
        <v>230</v>
      </c>
      <c r="B39" s="4" t="s">
        <v>243</v>
      </c>
      <c r="C39" s="21">
        <v>3870</v>
      </c>
      <c r="D39" s="21">
        <v>1173226.5</v>
      </c>
    </row>
    <row r="40" spans="1:16" x14ac:dyDescent="0.2">
      <c r="A40" s="4" t="s">
        <v>230</v>
      </c>
      <c r="B40" s="4" t="s">
        <v>240</v>
      </c>
      <c r="C40" s="21">
        <v>72</v>
      </c>
      <c r="D40" s="21">
        <v>33551.5</v>
      </c>
    </row>
    <row r="41" spans="1:16" x14ac:dyDescent="0.2">
      <c r="A41" s="4" t="s">
        <v>230</v>
      </c>
      <c r="B41" s="4" t="s">
        <v>236</v>
      </c>
      <c r="C41" s="21">
        <v>4</v>
      </c>
      <c r="D41" s="21">
        <v>2757.5</v>
      </c>
    </row>
    <row r="42" spans="1:16" x14ac:dyDescent="0.2">
      <c r="A42" s="4" t="s">
        <v>241</v>
      </c>
      <c r="B42" s="4" t="s">
        <v>243</v>
      </c>
      <c r="C42" s="21">
        <v>3755</v>
      </c>
      <c r="D42" s="21">
        <v>816410.5</v>
      </c>
    </row>
    <row r="43" spans="1:16" x14ac:dyDescent="0.2">
      <c r="A43" s="4" t="s">
        <v>241</v>
      </c>
      <c r="B43" s="4" t="s">
        <v>240</v>
      </c>
      <c r="C43" s="21">
        <v>37</v>
      </c>
      <c r="D43" s="21">
        <v>11876</v>
      </c>
      <c r="F43" s="15"/>
      <c r="G43" s="16"/>
      <c r="H43" s="28" t="s">
        <v>257</v>
      </c>
      <c r="I43" s="29"/>
    </row>
    <row r="44" spans="1:16" x14ac:dyDescent="0.2">
      <c r="A44" s="4" t="s">
        <v>247</v>
      </c>
      <c r="B44" s="4" t="s">
        <v>243</v>
      </c>
      <c r="C44" s="21">
        <v>520</v>
      </c>
      <c r="D44" s="21">
        <v>138575.5</v>
      </c>
      <c r="F44" s="28" t="s">
        <v>256</v>
      </c>
      <c r="G44" s="28" t="s">
        <v>255</v>
      </c>
      <c r="H44" s="15" t="s">
        <v>254</v>
      </c>
      <c r="I44" s="27" t="s">
        <v>253</v>
      </c>
      <c r="J44" t="s">
        <v>252</v>
      </c>
    </row>
    <row r="45" spans="1:16" x14ac:dyDescent="0.2">
      <c r="A45" s="4" t="s">
        <v>238</v>
      </c>
      <c r="B45" s="4" t="s">
        <v>243</v>
      </c>
      <c r="C45" s="21">
        <v>3067</v>
      </c>
      <c r="D45" s="21">
        <v>762607.5</v>
      </c>
      <c r="F45" s="15" t="s">
        <v>243</v>
      </c>
      <c r="G45" s="15" t="s">
        <v>230</v>
      </c>
      <c r="H45" s="15">
        <v>3870</v>
      </c>
      <c r="I45" s="14">
        <v>1173226.5</v>
      </c>
      <c r="J45" s="1">
        <f>I45/H45</f>
        <v>303.15930232558139</v>
      </c>
      <c r="M45" s="18" t="s">
        <v>241</v>
      </c>
      <c r="N45" t="s">
        <v>251</v>
      </c>
      <c r="O45" t="s">
        <v>250</v>
      </c>
    </row>
    <row r="46" spans="1:16" x14ac:dyDescent="0.2">
      <c r="A46" s="4" t="s">
        <v>233</v>
      </c>
      <c r="B46" s="4" t="s">
        <v>240</v>
      </c>
      <c r="C46" s="21">
        <v>61</v>
      </c>
      <c r="D46" s="21">
        <v>25813</v>
      </c>
      <c r="F46" s="19"/>
      <c r="G46" s="18" t="s">
        <v>241</v>
      </c>
      <c r="H46" s="25">
        <v>3755</v>
      </c>
      <c r="I46" s="24">
        <v>816410.5</v>
      </c>
      <c r="J46" s="1">
        <f>I46/H46</f>
        <v>217.4195739014647</v>
      </c>
      <c r="L46" t="s">
        <v>248</v>
      </c>
      <c r="M46" s="26">
        <v>3755</v>
      </c>
      <c r="N46">
        <f>M46*0.2</f>
        <v>751</v>
      </c>
    </row>
    <row r="47" spans="1:16" x14ac:dyDescent="0.2">
      <c r="A47" s="4" t="s">
        <v>233</v>
      </c>
      <c r="B47" s="4" t="s">
        <v>243</v>
      </c>
      <c r="C47" s="21">
        <v>3070</v>
      </c>
      <c r="D47" s="21">
        <v>1025246.5</v>
      </c>
      <c r="F47" s="19"/>
      <c r="G47" s="18" t="s">
        <v>233</v>
      </c>
      <c r="H47" s="25">
        <v>3070</v>
      </c>
      <c r="I47" s="24">
        <v>1025246.5</v>
      </c>
      <c r="J47" s="1">
        <f>I47/H47</f>
        <v>333.95651465798045</v>
      </c>
      <c r="L47" t="s">
        <v>246</v>
      </c>
      <c r="M47" s="24">
        <v>816410.5</v>
      </c>
      <c r="N47" s="22">
        <f>N46*J47</f>
        <v>250801.34250814331</v>
      </c>
      <c r="O47" s="22">
        <f>N47*0.5</f>
        <v>125400.67125407165</v>
      </c>
      <c r="P47" s="22">
        <f>O47+M47</f>
        <v>941811.17125407164</v>
      </c>
    </row>
    <row r="48" spans="1:16" x14ac:dyDescent="0.2">
      <c r="A48" s="4" t="s">
        <v>235</v>
      </c>
      <c r="B48" s="4" t="s">
        <v>240</v>
      </c>
      <c r="C48" s="21">
        <v>32</v>
      </c>
      <c r="D48" s="21">
        <v>10124.5</v>
      </c>
      <c r="F48" s="19"/>
      <c r="G48" s="18" t="s">
        <v>238</v>
      </c>
      <c r="H48" s="18">
        <v>3067</v>
      </c>
      <c r="I48" s="17">
        <v>762607.5</v>
      </c>
      <c r="J48" s="1">
        <f>I48/H48</f>
        <v>248.64933159439192</v>
      </c>
      <c r="P48" s="23">
        <f>(P47-M47)/M47</f>
        <v>0.15360002260391267</v>
      </c>
    </row>
    <row r="49" spans="1:17" x14ac:dyDescent="0.2">
      <c r="A49" s="4" t="s">
        <v>235</v>
      </c>
      <c r="B49" s="4" t="s">
        <v>243</v>
      </c>
      <c r="C49" s="21">
        <v>1787</v>
      </c>
      <c r="D49" s="21">
        <v>544672</v>
      </c>
      <c r="F49" s="19"/>
      <c r="G49" s="18" t="s">
        <v>235</v>
      </c>
      <c r="H49" s="18">
        <v>1787</v>
      </c>
      <c r="I49" s="17">
        <v>544672</v>
      </c>
      <c r="J49" s="1">
        <f>I49/H49</f>
        <v>304.79686625629546</v>
      </c>
      <c r="M49" t="s">
        <v>249</v>
      </c>
    </row>
    <row r="50" spans="1:17" x14ac:dyDescent="0.2">
      <c r="A50" s="4" t="s">
        <v>229</v>
      </c>
      <c r="B50" s="4" t="s">
        <v>231</v>
      </c>
      <c r="C50" s="21">
        <v>1</v>
      </c>
      <c r="D50" s="21">
        <v>157.5</v>
      </c>
      <c r="F50" s="19"/>
      <c r="G50" s="18" t="s">
        <v>229</v>
      </c>
      <c r="H50" s="18">
        <v>894</v>
      </c>
      <c r="I50" s="17">
        <v>234963</v>
      </c>
      <c r="J50" s="1">
        <f>I50/H50</f>
        <v>262.82214765100673</v>
      </c>
      <c r="L50" t="s">
        <v>248</v>
      </c>
      <c r="M50" s="25">
        <v>3070</v>
      </c>
      <c r="N50">
        <f>0.2*M50</f>
        <v>614</v>
      </c>
    </row>
    <row r="51" spans="1:17" x14ac:dyDescent="0.2">
      <c r="A51" s="4" t="s">
        <v>229</v>
      </c>
      <c r="B51" s="4" t="s">
        <v>240</v>
      </c>
      <c r="C51" s="21">
        <v>22</v>
      </c>
      <c r="D51" s="21">
        <v>6943</v>
      </c>
      <c r="F51" s="19"/>
      <c r="G51" s="18" t="s">
        <v>247</v>
      </c>
      <c r="H51" s="18">
        <v>520</v>
      </c>
      <c r="I51" s="17">
        <v>138575.5</v>
      </c>
      <c r="J51" s="1">
        <f>I51/H51</f>
        <v>266.49134615384617</v>
      </c>
      <c r="L51" t="s">
        <v>246</v>
      </c>
      <c r="M51" s="24">
        <v>1025246.5</v>
      </c>
      <c r="N51" s="22">
        <f>N50*J46</f>
        <v>133495.61837549933</v>
      </c>
      <c r="O51" s="22">
        <f>N51*0.5</f>
        <v>66747.809187749663</v>
      </c>
      <c r="P51" s="22">
        <f>O51+M51</f>
        <v>1091994.3091877496</v>
      </c>
      <c r="Q51" s="22"/>
    </row>
    <row r="52" spans="1:17" x14ac:dyDescent="0.2">
      <c r="A52" s="4" t="s">
        <v>229</v>
      </c>
      <c r="B52" s="4" t="s">
        <v>243</v>
      </c>
      <c r="C52" s="21">
        <v>894</v>
      </c>
      <c r="D52" s="21">
        <v>234963</v>
      </c>
      <c r="F52" s="19"/>
      <c r="G52" s="18" t="s">
        <v>234</v>
      </c>
      <c r="H52" s="18">
        <v>495</v>
      </c>
      <c r="I52" s="17">
        <v>113308.5</v>
      </c>
      <c r="J52" s="1">
        <f>I52/H52</f>
        <v>228.90606060606061</v>
      </c>
      <c r="N52" s="22"/>
      <c r="P52" s="23">
        <f>(P51-M51)/M51</f>
        <v>6.5104157085880937E-2</v>
      </c>
    </row>
    <row r="53" spans="1:17" x14ac:dyDescent="0.2">
      <c r="A53" s="4" t="s">
        <v>238</v>
      </c>
      <c r="B53" s="4" t="s">
        <v>240</v>
      </c>
      <c r="C53" s="21">
        <v>15</v>
      </c>
      <c r="D53" s="21">
        <v>4692.5</v>
      </c>
      <c r="F53" s="15" t="s">
        <v>245</v>
      </c>
      <c r="G53" s="16"/>
      <c r="H53" s="15">
        <v>17458</v>
      </c>
      <c r="I53" s="14">
        <v>4809010</v>
      </c>
      <c r="J53" s="1"/>
      <c r="M53" s="1">
        <f>M51+M47</f>
        <v>1841657</v>
      </c>
      <c r="O53" s="22">
        <f>O51+O47</f>
        <v>192148.48044182133</v>
      </c>
      <c r="P53" s="22">
        <f>P51+P47</f>
        <v>2033805.4804418213</v>
      </c>
    </row>
    <row r="54" spans="1:17" x14ac:dyDescent="0.2">
      <c r="A54" s="4" t="s">
        <v>233</v>
      </c>
      <c r="B54" s="4" t="s">
        <v>236</v>
      </c>
      <c r="C54" s="21">
        <v>1</v>
      </c>
      <c r="D54" s="21">
        <v>200.5</v>
      </c>
      <c r="F54" s="15" t="s">
        <v>240</v>
      </c>
      <c r="G54" s="15" t="s">
        <v>230</v>
      </c>
      <c r="H54" s="15">
        <v>72</v>
      </c>
      <c r="I54" s="14">
        <v>33551.5</v>
      </c>
      <c r="J54" s="1"/>
      <c r="L54" t="s">
        <v>244</v>
      </c>
    </row>
    <row r="55" spans="1:17" x14ac:dyDescent="0.2">
      <c r="A55" s="4" t="s">
        <v>234</v>
      </c>
      <c r="B55" s="4" t="s">
        <v>243</v>
      </c>
      <c r="C55" s="21">
        <v>495</v>
      </c>
      <c r="D55" s="21">
        <v>113308.5</v>
      </c>
      <c r="F55" s="19"/>
      <c r="G55" s="18" t="s">
        <v>233</v>
      </c>
      <c r="H55" s="18">
        <v>61</v>
      </c>
      <c r="I55" s="17">
        <v>25813</v>
      </c>
      <c r="J55" s="1"/>
      <c r="L55" t="s">
        <v>242</v>
      </c>
    </row>
    <row r="56" spans="1:17" x14ac:dyDescent="0.2">
      <c r="A56" s="4" t="s">
        <v>234</v>
      </c>
      <c r="B56" s="4" t="s">
        <v>236</v>
      </c>
      <c r="C56" s="21">
        <v>1</v>
      </c>
      <c r="D56" s="21">
        <v>73</v>
      </c>
      <c r="F56" s="19"/>
      <c r="G56" s="18" t="s">
        <v>241</v>
      </c>
      <c r="H56" s="18">
        <v>37</v>
      </c>
      <c r="I56" s="17">
        <v>11876</v>
      </c>
      <c r="J56" s="1"/>
    </row>
    <row r="57" spans="1:17" x14ac:dyDescent="0.2">
      <c r="A57" s="4" t="s">
        <v>234</v>
      </c>
      <c r="B57" s="4" t="s">
        <v>240</v>
      </c>
      <c r="C57" s="21">
        <v>2</v>
      </c>
      <c r="D57" s="21">
        <v>264.5</v>
      </c>
      <c r="F57" s="19"/>
      <c r="G57" s="18" t="s">
        <v>235</v>
      </c>
      <c r="H57" s="18">
        <v>32</v>
      </c>
      <c r="I57" s="17">
        <v>10124.5</v>
      </c>
      <c r="J57" s="1"/>
      <c r="L57" t="s">
        <v>239</v>
      </c>
    </row>
    <row r="58" spans="1:17" x14ac:dyDescent="0.2">
      <c r="A58" s="4" t="s">
        <v>230</v>
      </c>
      <c r="B58" s="4" t="s">
        <v>231</v>
      </c>
      <c r="C58" s="21">
        <v>1</v>
      </c>
      <c r="D58" s="21">
        <v>127</v>
      </c>
      <c r="F58" s="19"/>
      <c r="G58" s="18" t="s">
        <v>229</v>
      </c>
      <c r="H58" s="18">
        <v>22</v>
      </c>
      <c r="I58" s="17">
        <v>6943</v>
      </c>
      <c r="J58" s="1"/>
      <c r="M58" s="22"/>
    </row>
    <row r="59" spans="1:17" x14ac:dyDescent="0.2">
      <c r="A59" s="4" t="s">
        <v>235</v>
      </c>
      <c r="B59" s="4" t="s">
        <v>236</v>
      </c>
      <c r="C59" s="21">
        <v>2</v>
      </c>
      <c r="D59" s="21">
        <v>130</v>
      </c>
      <c r="F59" s="19"/>
      <c r="G59" s="18" t="s">
        <v>238</v>
      </c>
      <c r="H59" s="18">
        <v>15</v>
      </c>
      <c r="I59" s="17">
        <v>4692.5</v>
      </c>
      <c r="J59" s="1"/>
      <c r="M59" s="20"/>
    </row>
    <row r="60" spans="1:17" x14ac:dyDescent="0.2">
      <c r="F60" s="19"/>
      <c r="G60" s="18" t="s">
        <v>234</v>
      </c>
      <c r="H60" s="18">
        <v>2</v>
      </c>
      <c r="I60" s="17">
        <v>264.5</v>
      </c>
      <c r="J60" s="1"/>
      <c r="M60" s="11">
        <v>4905720.5</v>
      </c>
    </row>
    <row r="61" spans="1:17" x14ac:dyDescent="0.2">
      <c r="F61" s="15" t="s">
        <v>237</v>
      </c>
      <c r="G61" s="16"/>
      <c r="H61" s="15">
        <v>241</v>
      </c>
      <c r="I61" s="14">
        <v>93265</v>
      </c>
      <c r="J61" s="1"/>
    </row>
    <row r="62" spans="1:17" x14ac:dyDescent="0.2">
      <c r="F62" s="15" t="s">
        <v>236</v>
      </c>
      <c r="G62" s="15" t="s">
        <v>230</v>
      </c>
      <c r="H62" s="15">
        <v>4</v>
      </c>
      <c r="I62" s="14">
        <v>2757.5</v>
      </c>
      <c r="J62" s="1"/>
    </row>
    <row r="63" spans="1:17" x14ac:dyDescent="0.2">
      <c r="F63" s="19"/>
      <c r="G63" s="18" t="s">
        <v>235</v>
      </c>
      <c r="H63" s="18">
        <v>2</v>
      </c>
      <c r="I63" s="17">
        <v>130</v>
      </c>
      <c r="J63" s="1"/>
    </row>
    <row r="64" spans="1:17" x14ac:dyDescent="0.2">
      <c r="F64" s="19"/>
      <c r="G64" s="18" t="s">
        <v>234</v>
      </c>
      <c r="H64" s="18">
        <v>1</v>
      </c>
      <c r="I64" s="17">
        <v>73</v>
      </c>
      <c r="J64" s="1"/>
    </row>
    <row r="65" spans="6:11" x14ac:dyDescent="0.2">
      <c r="F65" s="19"/>
      <c r="G65" s="18" t="s">
        <v>233</v>
      </c>
      <c r="H65" s="18">
        <v>1</v>
      </c>
      <c r="I65" s="17">
        <v>200.5</v>
      </c>
      <c r="J65" s="1"/>
    </row>
    <row r="66" spans="6:11" x14ac:dyDescent="0.2">
      <c r="F66" s="15" t="s">
        <v>232</v>
      </c>
      <c r="G66" s="16"/>
      <c r="H66" s="15">
        <v>8</v>
      </c>
      <c r="I66" s="14">
        <v>3161</v>
      </c>
      <c r="J66" s="1"/>
    </row>
    <row r="67" spans="6:11" x14ac:dyDescent="0.2">
      <c r="F67" s="15" t="s">
        <v>231</v>
      </c>
      <c r="G67" s="15" t="s">
        <v>230</v>
      </c>
      <c r="H67" s="15">
        <v>1</v>
      </c>
      <c r="I67" s="14">
        <v>127</v>
      </c>
      <c r="J67" s="1"/>
    </row>
    <row r="68" spans="6:11" x14ac:dyDescent="0.2">
      <c r="F68" s="19"/>
      <c r="G68" s="18" t="s">
        <v>229</v>
      </c>
      <c r="H68" s="18">
        <v>1</v>
      </c>
      <c r="I68" s="17">
        <v>157.5</v>
      </c>
      <c r="J68" s="1"/>
    </row>
    <row r="69" spans="6:11" x14ac:dyDescent="0.2">
      <c r="F69" s="15" t="s">
        <v>228</v>
      </c>
      <c r="G69" s="16"/>
      <c r="H69" s="15">
        <v>2</v>
      </c>
      <c r="I69" s="14">
        <v>284.5</v>
      </c>
      <c r="J69" s="1"/>
    </row>
    <row r="70" spans="6:11" x14ac:dyDescent="0.2">
      <c r="F70" s="12" t="s">
        <v>227</v>
      </c>
      <c r="G70" s="13"/>
      <c r="H70" s="12">
        <v>17709</v>
      </c>
      <c r="I70" s="11">
        <v>4905720.5</v>
      </c>
      <c r="J70" s="10">
        <f>H53/H70</f>
        <v>0.98582641594669373</v>
      </c>
      <c r="K70" s="10">
        <f>I53/I70</f>
        <v>0.98028617814651287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how is café performing</vt:lpstr>
      <vt:lpstr>Design a campaign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Vijayan</dc:creator>
  <cp:lastModifiedBy>Avinash Vijayan</cp:lastModifiedBy>
  <dcterms:created xsi:type="dcterms:W3CDTF">2026-03-11T14:57:52Z</dcterms:created>
  <dcterms:modified xsi:type="dcterms:W3CDTF">2026-03-11T14:58:48Z</dcterms:modified>
</cp:coreProperties>
</file>